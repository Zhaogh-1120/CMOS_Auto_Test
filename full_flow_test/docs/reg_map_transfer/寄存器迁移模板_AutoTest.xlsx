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 activeTab="2"/>
  </bookViews>
  <sheets>
    <sheet name="README_填写说明" sheetId="1" r:id="rId1"/>
    <sheet name="项目配置" sheetId="2" r:id="rId2"/>
    <sheet name="字段输入模板" sheetId="3" r:id="rId3"/>
    <sheet name="示例_当前工程" sheetId="4" r:id="rId4"/>
    <sheet name="导出预览_register_fields" sheetId="5" r:id="rId5"/>
    <sheet name="可选_寄存器汇总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A3" authorId="0">
      <text>
        <r>
          <rPr>
            <sz val="10"/>
            <rFont val="宋体"/>
            <charset val="134"/>
          </rPr>
          <t>可选：整寄存器名称，如 REG20</t>
        </r>
      </text>
    </comment>
    <comment ref="B3" authorId="0">
      <text>
        <r>
          <rPr>
            <sz val="10"/>
            <rFont val="宋体"/>
            <charset val="134"/>
          </rPr>
          <t>字段基础名，不带位段；例如 CFG_OSC2_IDAC_IBIAS</t>
        </r>
      </text>
    </comment>
    <comment ref="C3" authorId="0">
      <text>
        <r>
          <rPr>
            <sz val="10"/>
            <rFont val="宋体"/>
            <charset val="134"/>
          </rPr>
          <t>必填：脚本使用的短名；如不需要缩写可与字段名相同</t>
        </r>
      </text>
    </comment>
    <comment ref="D3" authorId="0">
      <text>
        <r>
          <rPr>
            <sz val="10"/>
            <rFont val="宋体"/>
            <charset val="134"/>
          </rPr>
          <t>统一填写十进制地址，例如 32；模板会生成 0x20</t>
        </r>
      </text>
    </comment>
    <comment ref="E3" authorId="0">
      <text>
        <r>
          <rPr>
            <sz val="10"/>
            <rFont val="宋体"/>
            <charset val="134"/>
          </rPr>
          <t>最高位，例如 7</t>
        </r>
      </text>
    </comment>
    <comment ref="F3" authorId="0">
      <text>
        <r>
          <rPr>
            <sz val="10"/>
            <rFont val="宋体"/>
            <charset val="134"/>
          </rPr>
          <t>最低位，例如 3</t>
        </r>
      </text>
    </comment>
    <comment ref="G3" authorId="0">
      <text>
        <r>
          <rPr>
            <sz val="10"/>
            <rFont val="宋体"/>
            <charset val="134"/>
          </rPr>
          <t>字段默认值，例如 15（表示 &lt;7:3&gt; 这 5bit 的默认值）</t>
        </r>
      </text>
    </comment>
    <comment ref="H3" authorId="0">
      <text>
        <r>
          <rPr>
            <sz val="10"/>
            <rFont val="宋体"/>
            <charset val="134"/>
          </rPr>
          <t>可选：RW / RO / WO / W1C ...</t>
        </r>
      </text>
    </comment>
    <comment ref="I3" authorId="0">
      <text>
        <r>
          <rPr>
            <sz val="10"/>
            <rFont val="宋体"/>
            <charset val="134"/>
          </rPr>
          <t>可选：字段说明</t>
        </r>
      </text>
    </comment>
    <comment ref="J3" authorId="0">
      <text>
        <r>
          <rPr>
            <sz val="10"/>
            <rFont val="宋体"/>
            <charset val="134"/>
          </rPr>
          <t>可选：补充备注</t>
        </r>
      </text>
    </comment>
    <comment ref="K3" authorId="0">
      <text>
        <r>
          <rPr>
            <sz val="10"/>
            <rFont val="宋体"/>
            <charset val="134"/>
          </rPr>
          <t>自动生成</t>
        </r>
      </text>
    </comment>
    <comment ref="L3" authorId="0">
      <text>
        <r>
          <rPr>
            <sz val="10"/>
            <rFont val="宋体"/>
            <charset val="134"/>
          </rPr>
          <t>自动生成</t>
        </r>
      </text>
    </comment>
    <comment ref="M3" authorId="0">
      <text>
        <r>
          <rPr>
            <sz val="10"/>
            <rFont val="宋体"/>
            <charset val="134"/>
          </rPr>
          <t>自动生成</t>
        </r>
      </text>
    </comment>
    <comment ref="N3" authorId="0">
      <text>
        <r>
          <rPr>
            <sz val="10"/>
            <rFont val="宋体"/>
            <charset val="134"/>
          </rPr>
          <t>自动生成</t>
        </r>
      </text>
    </comment>
    <comment ref="O3" authorId="0">
      <text>
        <r>
          <rPr>
            <sz val="10"/>
            <rFont val="宋体"/>
            <charset val="134"/>
          </rPr>
          <t>自动生成：字段名+位段</t>
        </r>
      </text>
    </comment>
    <comment ref="P3" authorId="0">
      <text>
        <r>
          <rPr>
            <sz val="10"/>
            <rFont val="宋体"/>
            <charset val="134"/>
          </rPr>
          <t>自动生成</t>
        </r>
      </text>
    </comment>
    <comment ref="Q3" authorId="0">
      <text>
        <r>
          <rPr>
            <sz val="10"/>
            <rFont val="宋体"/>
            <charset val="134"/>
          </rPr>
          <t>自动检查</t>
        </r>
      </text>
    </comment>
  </commentList>
</comments>
</file>

<file path=xl/sharedStrings.xml><?xml version="1.0" encoding="utf-8"?>
<sst xmlns="http://schemas.openxmlformats.org/spreadsheetml/2006/main" count="251" uniqueCount="156">
  <si>
    <t>自动化测试工程-寄存器迁移模板（最小输入版）</t>
  </si>
  <si>
    <t>用途</t>
  </si>
  <si>
    <t>用于后续新工程项目的寄存器/字段映射迁移。SPI 通信协议保持不变时，只需按本模板补充寄存器地址表 + 字段定义，我即可据此替换当前工程中的 register_fields.json / registers.json / alias 映射。</t>
  </si>
  <si>
    <t>建议填写顺序</t>
  </si>
  <si>
    <t>1）先在“项目配置”页修改项目名称等信息。</t>
  </si>
  <si>
    <t>2）在“可选_寄存器汇总”页至少填写 register_name 和 address_decimal，两列即可让字段页自动回填地址。</t>
  </si>
  <si>
    <t>3）在“字段输入模板”页按一行一个字段填写。现在只需要尽量少的输入列：register_name、field_base_name、bit_spec、default_decimal；alias/access/description/notes 按需填写。</t>
  </si>
  <si>
    <t>4）bit_spec 建议写成 7:3 或 2 这种形式；msb/lsb/bits/width/mask/max/address_hex 会自动计算。</t>
  </si>
  <si>
    <t>5) 填完后把这个 Excel 发给我，我就可以按当前工程样式生成新的配置文件。</t>
  </si>
  <si>
    <t>最少必填列（字段输入模板）</t>
  </si>
  <si>
    <t>A register_name：寄存器名，如 REG20</t>
  </si>
  <si>
    <t>B field_base_name：字段基础名，如 CFG_OSC2_GMP_NUM</t>
  </si>
  <si>
    <t>C alias：选填，留空时默认等于 field_base_name</t>
  </si>
  <si>
    <t>D bit_spec：必填，写 7:3 或 2</t>
  </si>
  <si>
    <t>E default_decimal：必填，字段默认十进制值</t>
  </si>
  <si>
    <t>F access：选填，如 RW / RO</t>
  </si>
  <si>
    <t>G description：选填</t>
  </si>
  <si>
    <t>H notes：选填</t>
  </si>
  <si>
    <t>哪些列是必须的</t>
  </si>
  <si>
    <t>自动计算列</t>
  </si>
  <si>
    <t>address_decimal / msb / lsb / bits / width / mask_decimal / max_decimal / field_full_name / address_hex / check_status 全部自动生成。</t>
  </si>
  <si>
    <t>我收到模板后可自动生成/核对的内容</t>
  </si>
  <si>
    <t>注意事项</t>
  </si>
  <si>
    <t>1）若“字段输入模板”中 address_decimal 为空，通常是“可选_寄存器汇总”里还没填对应寄存器地址。</t>
  </si>
  <si>
    <t>2）bit_spec 统一不带尖括号，直接写 7:3 或 2 即可。</t>
  </si>
  <si>
    <t>3）default_decimal 必须小于等于自动计算出的 max_decimal。</t>
  </si>
  <si>
    <t>4）如果一个寄存器有多个字段，就在字段页中写多行，但 register_name 可以重复。</t>
  </si>
  <si>
    <t>后续脚本转换建议</t>
  </si>
  <si>
    <t>后续转换脚本可直接从“字段输入模板”读取自动列，导出 register_fields.json 与 registers.json。</t>
  </si>
  <si>
    <t>绿色：用户可选填写</t>
  </si>
  <si>
    <t>灰色：公式自动生成 / 供核对</t>
  </si>
  <si>
    <t>黄色：检查状态或注意项</t>
  </si>
  <si>
    <t>项目配置</t>
  </si>
  <si>
    <t>项目属性</t>
  </si>
  <si>
    <t>当前工程默认 SPI 参数（若协议不变一般不用改）</t>
  </si>
  <si>
    <t>project_name</t>
  </si>
  <si>
    <t>新项目名称_请修改</t>
  </si>
  <si>
    <t>device_index</t>
  </si>
  <si>
    <t>chip_name</t>
  </si>
  <si>
    <t/>
  </si>
  <si>
    <t>spi_index</t>
  </si>
  <si>
    <t>maintainer</t>
  </si>
  <si>
    <t>control_mode</t>
  </si>
  <si>
    <t>notes</t>
  </si>
  <si>
    <t>cpol</t>
  </si>
  <si>
    <t>cpha</t>
  </si>
  <si>
    <t>clock_hz</t>
  </si>
  <si>
    <t>use_shadow</t>
  </si>
  <si>
    <t>False</t>
  </si>
  <si>
    <t>write_cmd</t>
  </si>
  <si>
    <t>0x40</t>
  </si>
  <si>
    <t>read_cmd</t>
  </si>
  <si>
    <t>0x80</t>
  </si>
  <si>
    <t>read_response_index</t>
  </si>
  <si>
    <t>字段输入模板（请从第4行开始填写，已改为最小输入版）</t>
  </si>
  <si>
    <t>说明：蓝色为尽量少的输入列；绿色为选填；灰色为自动计算。bit_spec 写成 7:3 或 2。address 从“可选_寄存器汇总”自动查找。</t>
  </si>
  <si>
    <t>register_name</t>
  </si>
  <si>
    <t>field_base_name</t>
  </si>
  <si>
    <t>alias</t>
  </si>
  <si>
    <t>bit_spec</t>
  </si>
  <si>
    <t>default_decimal</t>
  </si>
  <si>
    <t>access</t>
  </si>
  <si>
    <t>description</t>
  </si>
  <si>
    <t>address_decimal</t>
  </si>
  <si>
    <t>msb</t>
  </si>
  <si>
    <t>lsb</t>
  </si>
  <si>
    <t>bits</t>
  </si>
  <si>
    <t>width</t>
  </si>
  <si>
    <t>mask_decimal</t>
  </si>
  <si>
    <t>max_decimal</t>
  </si>
  <si>
    <t>field_full_name</t>
  </si>
  <si>
    <t>address_hex</t>
  </si>
  <si>
    <t>check_status</t>
  </si>
  <si>
    <t>REG20</t>
  </si>
  <si>
    <t>CFG_OSC2_IDAC_IBIAS</t>
  </si>
  <si>
    <t>7:3</t>
  </si>
  <si>
    <t>RW</t>
  </si>
  <si>
    <t>示例：5bit 字段</t>
  </si>
  <si>
    <t>CFG_OSC2_GMP_NUM</t>
  </si>
  <si>
    <t>2:0</t>
  </si>
  <si>
    <t>示例：3bit 字段</t>
  </si>
  <si>
    <t>示例_当前工程（来自当前项目的 register_fields.json）</t>
  </si>
  <si>
    <t>此页仅示例，不需要修改。你后续只需在“字段输入模板”里填写更少的输入列，其余会自动生成。</t>
  </si>
  <si>
    <t>&lt;7:3&gt;</t>
  </si>
  <si>
    <t>CFG_OSC2_IDAC_IBIAS&lt;7:3&gt;</t>
  </si>
  <si>
    <t>0x20</t>
  </si>
  <si>
    <t>&lt;2:0&gt;</t>
  </si>
  <si>
    <t>CFG_OSC2_GMP_NUM&lt;2:0&gt;</t>
  </si>
  <si>
    <t>REG21</t>
  </si>
  <si>
    <t>CFG_OSC2_SWCAP</t>
  </si>
  <si>
    <t>&lt;7:4&gt;</t>
  </si>
  <si>
    <t>CFG_OSC2_SWCAP&lt;7:4&gt;</t>
  </si>
  <si>
    <t>0x21</t>
  </si>
  <si>
    <t>CFG_OSC2_TEST_BUF_IBIAS</t>
  </si>
  <si>
    <t>&lt;3:0&gt;</t>
  </si>
  <si>
    <t>CFG_OSC2_TEST_BUF_IBIAS&lt;3:0&gt;</t>
  </si>
  <si>
    <t>REG22</t>
  </si>
  <si>
    <t>CFG_IND_SWCAP_P</t>
  </si>
  <si>
    <t>&lt;5:3&gt;</t>
  </si>
  <si>
    <t>CFG_IND_SWCAP_P&lt;5:3&gt;</t>
  </si>
  <si>
    <t>0x22</t>
  </si>
  <si>
    <t>CFG_IND_SWCAP_N</t>
  </si>
  <si>
    <t>CFG_IND_SWCAP_N&lt;2:0&gt;</t>
  </si>
  <si>
    <t>REG23</t>
  </si>
  <si>
    <t>CFG_OSC2_GMN_NUM</t>
  </si>
  <si>
    <t>&lt;7:5&gt;</t>
  </si>
  <si>
    <t>CFG_OSC2_GMN_NUM&lt;7:5&gt;</t>
  </si>
  <si>
    <t>0x23</t>
  </si>
  <si>
    <t>CFG_OSC2_EN_IDAC_IBIAS</t>
  </si>
  <si>
    <t>&lt;4&gt;</t>
  </si>
  <si>
    <t>CFG_OSC2_EN_IDAC_IBIAS&lt;4&gt;</t>
  </si>
  <si>
    <t>CFG_OSC2_EN_GM</t>
  </si>
  <si>
    <t>&lt;3&gt;</t>
  </si>
  <si>
    <t>CFG_OSC2_EN_GM&lt;3&gt;</t>
  </si>
  <si>
    <t>CFG_OSC2_EN_ACBUF</t>
  </si>
  <si>
    <t>&lt;2&gt;</t>
  </si>
  <si>
    <t>CFG_OSC2_EN_ACBUF&lt;2&gt;</t>
  </si>
  <si>
    <t>CFG_OSC2_EN_TESTBUF</t>
  </si>
  <si>
    <t>&lt;1&gt;</t>
  </si>
  <si>
    <t>CFG_OSC2_EN_TESTBUF&lt;1&gt;</t>
  </si>
  <si>
    <t>CFG_OSC2_EN_FASTSTART</t>
  </si>
  <si>
    <t>&lt;0&gt;</t>
  </si>
  <si>
    <t>CFG_OSC2_EN_FASTSTART&lt;0&gt;</t>
  </si>
  <si>
    <t>REG24</t>
  </si>
  <si>
    <t>BPF_EN1</t>
  </si>
  <si>
    <t>BPF_EN1&lt;7:4&gt;</t>
  </si>
  <si>
    <t>0x24</t>
  </si>
  <si>
    <t>C_LPF</t>
  </si>
  <si>
    <t>&lt;3:2&gt;</t>
  </si>
  <si>
    <t>C_LPF&lt;3:2&gt;</t>
  </si>
  <si>
    <t>R_LPF</t>
  </si>
  <si>
    <t>&lt;1:0&gt;</t>
  </si>
  <si>
    <t>R_LPF&lt;1:0&gt;</t>
  </si>
  <si>
    <t>REG25</t>
  </si>
  <si>
    <t>BPF_EN3</t>
  </si>
  <si>
    <t>BPF_EN3&lt;5:3&gt;</t>
  </si>
  <si>
    <t>0x25</t>
  </si>
  <si>
    <t>BPF_EN2</t>
  </si>
  <si>
    <t>BPF_EN2&lt;2:0&gt;</t>
  </si>
  <si>
    <t>REG26</t>
  </si>
  <si>
    <t>C_IM</t>
  </si>
  <si>
    <t>C_IM&lt;7:4&gt;</t>
  </si>
  <si>
    <t>0x26</t>
  </si>
  <si>
    <t>C_RFED</t>
  </si>
  <si>
    <t>C_RFED&lt;3&gt;</t>
  </si>
  <si>
    <t>C_BPF</t>
  </si>
  <si>
    <t>C_BPF&lt;2:0&gt;</t>
  </si>
  <si>
    <t>导出预览（与当前工程 register_fields.json 字段风格一致）</t>
  </si>
  <si>
    <t>通常无需手填；内容由“字段输入模板”自动生成，便于我直接转换。alias 留空时自动回退到 field_base_name。</t>
  </si>
  <si>
    <t>name</t>
  </si>
  <si>
    <t>address</t>
  </si>
  <si>
    <t>mask</t>
  </si>
  <si>
    <t>寄存器地址表（建议填写，字段页会自动查地址）</t>
  </si>
  <si>
    <t>至少填写 register_name 和 address_decimal 两列；address_hex / register_default_hex 自动计算。</t>
  </si>
  <si>
    <t>register_default_decimal</t>
  </si>
  <si>
    <t>register_default_hex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</si>
</sst>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Calibri"/>
      <charset val="134"/>
      <scheme val="minor"/>
    </font>
    <font>
      <b/>
      <sz val="16"/>
      <color rgb="FF1F4E78"/>
      <name val="Calibri"/>
      <charset val="134"/>
      <scheme val="minor"/>
    </font>
    <font>
      <sz val="11"/>
      <color rgb="FF666666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1"/>
      <color rgb="FF0000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49"/>
    <xf numFmtId="0" fontId="1" fillId="0" borderId="0" xfId="49" applyFont="1"/>
    <xf numFmtId="0" fontId="2" fillId="0" borderId="0" xfId="49" applyFont="1"/>
    <xf numFmtId="0" fontId="0" fillId="0" borderId="0" xfId="49" applyAlignment="1">
      <alignment vertical="center" wrapText="1"/>
    </xf>
    <xf numFmtId="0" fontId="3" fillId="2" borderId="1" xfId="49" applyFont="1" applyFill="1" applyBorder="1" applyAlignment="1">
      <alignment vertical="center" wrapText="1"/>
    </xf>
    <xf numFmtId="1" fontId="3" fillId="2" borderId="1" xfId="49" applyNumberFormat="1" applyFont="1" applyFill="1" applyBorder="1" applyAlignment="1">
      <alignment vertical="center" wrapText="1"/>
    </xf>
    <xf numFmtId="0" fontId="4" fillId="3" borderId="1" xfId="49" applyFont="1" applyFill="1" applyBorder="1" applyAlignment="1">
      <alignment vertical="center" wrapText="1"/>
    </xf>
    <xf numFmtId="1" fontId="4" fillId="3" borderId="1" xfId="49" applyNumberFormat="1" applyFont="1" applyFill="1" applyBorder="1" applyAlignment="1">
      <alignment vertical="center" wrapText="1"/>
    </xf>
    <xf numFmtId="0" fontId="4" fillId="4" borderId="1" xfId="49" applyFont="1" applyFill="1" applyBorder="1" applyAlignment="1">
      <alignment vertical="center" wrapText="1"/>
    </xf>
    <xf numFmtId="1" fontId="0" fillId="4" borderId="1" xfId="49" applyNumberFormat="1" applyFill="1" applyBorder="1" applyAlignment="1">
      <alignment vertical="center" wrapText="1"/>
    </xf>
    <xf numFmtId="1" fontId="0" fillId="5" borderId="1" xfId="49" applyNumberFormat="1" applyFill="1" applyBorder="1" applyAlignment="1">
      <alignment vertical="center" wrapText="1"/>
    </xf>
    <xf numFmtId="1" fontId="0" fillId="0" borderId="0" xfId="49" applyNumberFormat="1"/>
    <xf numFmtId="0" fontId="0" fillId="4" borderId="1" xfId="49" applyFill="1" applyBorder="1" applyAlignment="1">
      <alignment vertical="center" wrapText="1"/>
    </xf>
    <xf numFmtId="0" fontId="0" fillId="6" borderId="1" xfId="49" applyFill="1" applyBorder="1" applyAlignment="1">
      <alignment vertical="center" wrapText="1"/>
    </xf>
    <xf numFmtId="0" fontId="0" fillId="3" borderId="1" xfId="49" applyFill="1" applyBorder="1" applyAlignment="1">
      <alignment vertical="center" wrapText="1"/>
    </xf>
    <xf numFmtId="49" fontId="0" fillId="0" borderId="0" xfId="49" applyNumberFormat="1"/>
    <xf numFmtId="0" fontId="2" fillId="0" borderId="0" xfId="49" applyFont="1" applyAlignment="1">
      <alignment wrapText="1"/>
    </xf>
    <xf numFmtId="0" fontId="5" fillId="3" borderId="1" xfId="49" applyFont="1" applyFill="1" applyBorder="1" applyAlignment="1">
      <alignment horizontal="center" vertical="center"/>
    </xf>
    <xf numFmtId="0" fontId="5" fillId="5" borderId="1" xfId="49" applyFont="1" applyFill="1" applyBorder="1" applyAlignment="1">
      <alignment horizontal="center" vertical="center"/>
    </xf>
    <xf numFmtId="49" fontId="5" fillId="3" borderId="1" xfId="49" applyNumberFormat="1" applyFont="1" applyFill="1" applyBorder="1" applyAlignment="1">
      <alignment horizontal="center" vertical="center"/>
    </xf>
    <xf numFmtId="49" fontId="4" fillId="3" borderId="1" xfId="49" applyNumberFormat="1" applyFont="1" applyFill="1" applyBorder="1" applyAlignment="1">
      <alignment vertical="center" wrapText="1"/>
    </xf>
    <xf numFmtId="0" fontId="0" fillId="5" borderId="1" xfId="49" applyFill="1" applyBorder="1" applyAlignment="1">
      <alignment vertical="center" wrapText="1"/>
    </xf>
    <xf numFmtId="0" fontId="5" fillId="7" borderId="1" xfId="49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vertical="center" wrapText="1"/>
    </xf>
    <xf numFmtId="1" fontId="6" fillId="4" borderId="1" xfId="49" applyNumberFormat="1" applyFont="1" applyFill="1" applyBorder="1" applyAlignment="1">
      <alignment vertical="center" wrapText="1"/>
    </xf>
    <xf numFmtId="0" fontId="5" fillId="7" borderId="0" xfId="49" applyFont="1" applyFill="1" applyAlignment="1">
      <alignment horizontal="center" vertical="center"/>
    </xf>
    <xf numFmtId="0" fontId="6" fillId="6" borderId="1" xfId="49" applyFont="1" applyFill="1" applyBorder="1" applyAlignment="1">
      <alignment vertical="center" wrapText="1"/>
    </xf>
    <xf numFmtId="0" fontId="3" fillId="2" borderId="1" xfId="49" applyFont="1" applyFill="1" applyBorder="1"/>
    <xf numFmtId="0" fontId="0" fillId="0" borderId="1" xfId="49" applyBorder="1"/>
    <xf numFmtId="0" fontId="0" fillId="8" borderId="1" xfId="49" applyFill="1" applyBorder="1"/>
    <xf numFmtId="0" fontId="4" fillId="3" borderId="1" xfId="49" applyFont="1" applyFill="1" applyBorder="1"/>
    <xf numFmtId="0" fontId="0" fillId="4" borderId="1" xfId="49" applyFill="1" applyBorder="1"/>
    <xf numFmtId="0" fontId="1" fillId="0" borderId="0" xfId="49" applyFont="1" applyAlignment="1">
      <alignment vertical="top" wrapText="1"/>
    </xf>
    <xf numFmtId="0" fontId="0" fillId="0" borderId="0" xfId="49" applyAlignment="1">
      <alignment vertical="top" wrapText="1"/>
    </xf>
    <xf numFmtId="0" fontId="7" fillId="0" borderId="0" xfId="49" applyFont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showGridLines="0" workbookViewId="0">
      <selection activeCell="A1" sqref="A1"/>
    </sheetView>
  </sheetViews>
  <sheetFormatPr defaultColWidth="9" defaultRowHeight="15"/>
  <cols>
    <col min="1" max="1" width="100" customWidth="1"/>
  </cols>
  <sheetData>
    <row r="1" ht="21" spans="1:1">
      <c r="A1" s="32" t="s">
        <v>0</v>
      </c>
    </row>
    <row r="2" spans="1:1">
      <c r="A2" s="33"/>
    </row>
    <row r="3" spans="1:1">
      <c r="A3" s="34" t="s">
        <v>1</v>
      </c>
    </row>
    <row r="4" ht="30" spans="1:1">
      <c r="A4" s="33" t="s">
        <v>2</v>
      </c>
    </row>
    <row r="5" spans="1:1">
      <c r="A5" s="33"/>
    </row>
    <row r="6" spans="1:1">
      <c r="A6" s="34" t="s">
        <v>3</v>
      </c>
    </row>
    <row r="7" spans="1:1">
      <c r="A7" s="33" t="s">
        <v>4</v>
      </c>
    </row>
    <row r="8" spans="1:1">
      <c r="A8" s="33" t="s">
        <v>5</v>
      </c>
    </row>
    <row r="9" ht="30" spans="1:1">
      <c r="A9" s="33" t="s">
        <v>6</v>
      </c>
    </row>
    <row r="10" spans="1:1">
      <c r="A10" s="33" t="s">
        <v>7</v>
      </c>
    </row>
    <row r="11" spans="1:1">
      <c r="A11" s="33" t="s">
        <v>8</v>
      </c>
    </row>
    <row r="12" spans="1:1">
      <c r="A12" s="33" t="s">
        <v>9</v>
      </c>
    </row>
    <row r="13" spans="1:1">
      <c r="A13" s="34" t="s">
        <v>10</v>
      </c>
    </row>
    <row r="14" spans="1:1">
      <c r="A14" s="33" t="s">
        <v>11</v>
      </c>
    </row>
    <row r="15" spans="1:1">
      <c r="A15" s="33" t="s">
        <v>12</v>
      </c>
    </row>
    <row r="16" spans="1:1">
      <c r="A16" s="33" t="s">
        <v>13</v>
      </c>
    </row>
    <row r="17" spans="1:1">
      <c r="A17" s="33" t="s">
        <v>14</v>
      </c>
    </row>
    <row r="18" spans="1:1">
      <c r="A18" s="33" t="s">
        <v>15</v>
      </c>
    </row>
    <row r="19" spans="1:1">
      <c r="A19" s="33" t="s">
        <v>16</v>
      </c>
    </row>
    <row r="20" spans="1:1">
      <c r="A20" s="33" t="s">
        <v>17</v>
      </c>
    </row>
    <row r="21" spans="1:1">
      <c r="A21" s="34" t="s">
        <v>18</v>
      </c>
    </row>
    <row r="22" spans="1:1">
      <c r="A22" s="33" t="s">
        <v>19</v>
      </c>
    </row>
    <row r="23" ht="30" spans="1:1">
      <c r="A23" s="33" t="s">
        <v>20</v>
      </c>
    </row>
    <row r="24" spans="1:1">
      <c r="A24" s="34" t="s">
        <v>21</v>
      </c>
    </row>
    <row r="25" spans="1:1">
      <c r="A25" s="33" t="s">
        <v>22</v>
      </c>
    </row>
    <row r="26" spans="1:1">
      <c r="A26" s="33" t="s">
        <v>23</v>
      </c>
    </row>
    <row r="27" spans="1:1">
      <c r="A27" s="33" t="s">
        <v>24</v>
      </c>
    </row>
    <row r="28" spans="1:1">
      <c r="A28" s="33" t="s">
        <v>25</v>
      </c>
    </row>
    <row r="29" spans="1:1">
      <c r="A29" s="33" t="s">
        <v>26</v>
      </c>
    </row>
    <row r="30" spans="1:1">
      <c r="A30" s="33"/>
    </row>
    <row r="31" spans="1:1">
      <c r="A31" s="34" t="s">
        <v>27</v>
      </c>
    </row>
    <row r="32" spans="1:1">
      <c r="A32" s="33" t="s">
        <v>28</v>
      </c>
    </row>
    <row r="33" spans="1:1">
      <c r="A33" s="33" t="s">
        <v>29</v>
      </c>
    </row>
    <row r="34" spans="1:1">
      <c r="A34" s="33" t="s">
        <v>30</v>
      </c>
    </row>
    <row r="35" spans="1:1">
      <c r="A35" s="33" t="s">
        <v>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showGridLines="0" workbookViewId="0">
      <selection activeCell="A1" sqref="A1"/>
    </sheetView>
  </sheetViews>
  <sheetFormatPr defaultColWidth="9" defaultRowHeight="15" outlineLevelCol="4"/>
  <cols>
    <col min="1" max="1" width="18" customWidth="1"/>
    <col min="2" max="2" width="34" customWidth="1"/>
    <col min="4" max="4" width="24" customWidth="1"/>
    <col min="5" max="5" width="18" customWidth="1"/>
  </cols>
  <sheetData>
    <row r="1" ht="21" spans="1:1">
      <c r="A1" s="1" t="s">
        <v>32</v>
      </c>
    </row>
    <row r="3" ht="15.75" spans="1:5">
      <c r="A3" s="27" t="s">
        <v>33</v>
      </c>
      <c r="B3" s="28"/>
      <c r="D3" s="27" t="s">
        <v>34</v>
      </c>
      <c r="E3" s="28"/>
    </row>
    <row r="4" spans="1:5">
      <c r="A4" s="29" t="s">
        <v>35</v>
      </c>
      <c r="B4" s="30" t="s">
        <v>36</v>
      </c>
      <c r="D4" s="29" t="s">
        <v>37</v>
      </c>
      <c r="E4" s="31">
        <v>0</v>
      </c>
    </row>
    <row r="5" spans="1:5">
      <c r="A5" s="29" t="s">
        <v>38</v>
      </c>
      <c r="B5" s="30" t="s">
        <v>39</v>
      </c>
      <c r="D5" s="29" t="s">
        <v>40</v>
      </c>
      <c r="E5" s="31">
        <v>0</v>
      </c>
    </row>
    <row r="6" spans="1:5">
      <c r="A6" s="29" t="s">
        <v>41</v>
      </c>
      <c r="B6" s="30" t="s">
        <v>39</v>
      </c>
      <c r="D6" s="29" t="s">
        <v>42</v>
      </c>
      <c r="E6" s="31">
        <v>0</v>
      </c>
    </row>
    <row r="7" spans="1:5">
      <c r="A7" s="29" t="s">
        <v>43</v>
      </c>
      <c r="B7" s="30" t="s">
        <v>39</v>
      </c>
      <c r="D7" s="29" t="s">
        <v>44</v>
      </c>
      <c r="E7" s="31">
        <v>0</v>
      </c>
    </row>
    <row r="8" spans="4:5">
      <c r="D8" s="29" t="s">
        <v>45</v>
      </c>
      <c r="E8" s="31">
        <v>0</v>
      </c>
    </row>
    <row r="9" spans="4:5">
      <c r="D9" s="29" t="s">
        <v>46</v>
      </c>
      <c r="E9" s="31">
        <v>500000</v>
      </c>
    </row>
    <row r="10" spans="4:5">
      <c r="D10" s="29" t="s">
        <v>47</v>
      </c>
      <c r="E10" s="31" t="s">
        <v>48</v>
      </c>
    </row>
    <row r="11" spans="4:5">
      <c r="D11" s="29" t="s">
        <v>49</v>
      </c>
      <c r="E11" s="31" t="s">
        <v>50</v>
      </c>
    </row>
    <row r="12" spans="4:5">
      <c r="D12" s="29" t="s">
        <v>51</v>
      </c>
      <c r="E12" s="31" t="s">
        <v>52</v>
      </c>
    </row>
    <row r="13" spans="4:5">
      <c r="D13" s="29" t="s">
        <v>53</v>
      </c>
      <c r="E13" s="31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0"/>
  <sheetViews>
    <sheetView showGridLines="0" tabSelected="1" workbookViewId="0">
      <selection activeCell="F17" sqref="F17"/>
    </sheetView>
  </sheetViews>
  <sheetFormatPr defaultColWidth="9" defaultRowHeight="15"/>
  <cols>
    <col min="1" max="1" width="16" customWidth="1"/>
    <col min="2" max="3" width="24" customWidth="1"/>
    <col min="4" max="4" width="12" style="15" customWidth="1"/>
    <col min="5" max="5" width="14" customWidth="1"/>
    <col min="6" max="6" width="10" customWidth="1"/>
    <col min="7" max="7" width="22" customWidth="1"/>
    <col min="8" max="8" width="18" customWidth="1"/>
    <col min="9" max="9" width="14" customWidth="1"/>
    <col min="10" max="11" width="8" customWidth="1"/>
    <col min="12" max="12" width="12" customWidth="1"/>
    <col min="13" max="13" width="10" customWidth="1"/>
    <col min="14" max="14" width="14" customWidth="1"/>
    <col min="15" max="15" width="12" customWidth="1"/>
    <col min="16" max="16" width="26" customWidth="1"/>
    <col min="17" max="17" width="12" customWidth="1"/>
    <col min="18" max="18" width="16" customWidth="1"/>
  </cols>
  <sheetData>
    <row r="1" ht="21" spans="1:1">
      <c r="A1" s="1" t="s">
        <v>54</v>
      </c>
    </row>
    <row r="2" ht="114" spans="1:1">
      <c r="A2" s="16" t="s">
        <v>55</v>
      </c>
    </row>
    <row r="3" spans="1:18">
      <c r="A3" s="17" t="s">
        <v>56</v>
      </c>
      <c r="B3" s="17" t="s">
        <v>57</v>
      </c>
      <c r="C3" s="18" t="s">
        <v>58</v>
      </c>
      <c r="D3" s="19" t="s">
        <v>59</v>
      </c>
      <c r="E3" s="17" t="s">
        <v>60</v>
      </c>
      <c r="F3" s="18" t="s">
        <v>61</v>
      </c>
      <c r="G3" s="18" t="s">
        <v>62</v>
      </c>
      <c r="H3" s="18" t="s">
        <v>43</v>
      </c>
      <c r="I3" s="22" t="s">
        <v>63</v>
      </c>
      <c r="J3" s="22" t="s">
        <v>64</v>
      </c>
      <c r="K3" s="22" t="s">
        <v>65</v>
      </c>
      <c r="L3" s="22" t="s">
        <v>66</v>
      </c>
      <c r="M3" s="22" t="s">
        <v>67</v>
      </c>
      <c r="N3" s="22" t="s">
        <v>68</v>
      </c>
      <c r="O3" s="22" t="s">
        <v>69</v>
      </c>
      <c r="P3" s="22" t="s">
        <v>70</v>
      </c>
      <c r="Q3" s="22" t="s">
        <v>71</v>
      </c>
      <c r="R3" s="25" t="s">
        <v>72</v>
      </c>
    </row>
    <row r="4" spans="1:18">
      <c r="A4" s="6" t="s">
        <v>73</v>
      </c>
      <c r="B4" s="6" t="s">
        <v>74</v>
      </c>
      <c r="C4" s="6" t="s">
        <v>74</v>
      </c>
      <c r="D4" s="20" t="s">
        <v>75</v>
      </c>
      <c r="E4" s="7">
        <v>15</v>
      </c>
      <c r="F4" s="7" t="s">
        <v>76</v>
      </c>
      <c r="G4" s="7" t="s">
        <v>77</v>
      </c>
      <c r="H4" s="21"/>
      <c r="I4" s="21">
        <f>IF(A4="","",IFERROR(INDEX(可选_寄存器汇总!$B:$B,MATCH(A4,可选_寄存器汇总!$A:$A,0)),""))</f>
        <v>32</v>
      </c>
      <c r="J4" s="21">
        <f t="shared" ref="J4:J67" si="0">IF(D4="","",IFERROR(IF(ISNUMBER(SEARCH(":",D4)),VALUE(LEFT(D4,FIND(":",D4)-1)),VALUE(D4)),""))</f>
        <v>7</v>
      </c>
      <c r="K4" s="23">
        <f t="shared" ref="K4:K67" si="1">IF(D4="","",IFERROR(IF(ISNUMBER(SEARCH(":",D4)),VALUE(MID(D4,FIND(":",D4)+1,99)),VALUE(D4)),""))</f>
        <v>3</v>
      </c>
      <c r="L4" s="24" t="str">
        <f t="shared" ref="L4:L67" si="2">IF(OR(J4="",K4=""),"",IF(J4=K4,"&lt;"&amp;J4&amp;"&gt;","&lt;"&amp;J4&amp;":"&amp;K4&amp;"&gt;"))</f>
        <v>&lt;7:3&gt;</v>
      </c>
      <c r="M4" s="24">
        <f t="shared" ref="M4:M67" si="3">IF(OR(J4="",K4=""),"",J4-K4+1)</f>
        <v>5</v>
      </c>
      <c r="N4" s="24">
        <f t="shared" ref="N4:N67" si="4">IF(OR(M4="",K4=""),"",((2^M4)-1)*(2^K4))</f>
        <v>248</v>
      </c>
      <c r="O4" s="23">
        <f t="shared" ref="O4:O67" si="5">IF(M4="","",(2^M4)-1)</f>
        <v>31</v>
      </c>
      <c r="P4" s="23" t="str">
        <f t="shared" ref="P4:P67" si="6">IF(OR(B4="",L4=""),"",B4&amp;L4)</f>
        <v>CFG_OSC2_IDAC_IBIAS&lt;7:3&gt;</v>
      </c>
      <c r="Q4" s="26" t="str">
        <f t="shared" ref="Q4:Q67" si="7">IF(I4="","","0x"&amp;MID("0123456789ABCDEF",INT(I4/16)+1,1)&amp;MID("0123456789ABCDEF",MOD(I4,16)+1,1))</f>
        <v>0x20</v>
      </c>
      <c r="R4" t="str">
        <f t="shared" ref="R4:R67" si="8">IF(COUNTA(A4:H4)=0,"",IF(OR(A4="",B4="",D4="",E4=""),"缺必填项",IF(I4="","寄存器地址缺失",IF(OR(J4="",K4=""),"bit_spec格式错误",IF(J4&lt;K4,"msb&lt;lsb",IF(E4&gt;O4,"默认值超范围","OK"))))))</f>
        <v>OK</v>
      </c>
    </row>
    <row r="5" spans="1:18">
      <c r="A5" s="6" t="s">
        <v>73</v>
      </c>
      <c r="B5" s="6" t="s">
        <v>78</v>
      </c>
      <c r="C5" s="6" t="s">
        <v>78</v>
      </c>
      <c r="D5" s="20" t="s">
        <v>79</v>
      </c>
      <c r="E5" s="7">
        <v>4</v>
      </c>
      <c r="F5" s="7" t="s">
        <v>76</v>
      </c>
      <c r="G5" s="7" t="s">
        <v>80</v>
      </c>
      <c r="H5" s="21"/>
      <c r="I5" s="21">
        <f>IF(A5="","",IFERROR(INDEX(可选_寄存器汇总!$B:$B,MATCH(A5,可选_寄存器汇总!$A:$A,0)),""))</f>
        <v>32</v>
      </c>
      <c r="J5" s="21">
        <f t="shared" si="0"/>
        <v>2</v>
      </c>
      <c r="K5" s="23">
        <f t="shared" si="1"/>
        <v>0</v>
      </c>
      <c r="L5" s="24" t="str">
        <f t="shared" si="2"/>
        <v>&lt;2:0&gt;</v>
      </c>
      <c r="M5" s="24">
        <f t="shared" si="3"/>
        <v>3</v>
      </c>
      <c r="N5" s="24">
        <f t="shared" si="4"/>
        <v>7</v>
      </c>
      <c r="O5" s="23">
        <f t="shared" si="5"/>
        <v>7</v>
      </c>
      <c r="P5" s="23" t="str">
        <f t="shared" si="6"/>
        <v>CFG_OSC2_GMP_NUM&lt;2:0&gt;</v>
      </c>
      <c r="Q5" s="26" t="str">
        <f t="shared" si="7"/>
        <v>0x20</v>
      </c>
      <c r="R5" t="str">
        <f t="shared" si="8"/>
        <v>OK</v>
      </c>
    </row>
    <row r="6" spans="1:18">
      <c r="A6" s="6"/>
      <c r="B6" s="6"/>
      <c r="C6" s="6"/>
      <c r="D6" s="20"/>
      <c r="E6" s="7"/>
      <c r="F6" s="7"/>
      <c r="G6" s="7"/>
      <c r="H6" s="21"/>
      <c r="I6" s="21" t="str">
        <f>IF(A6="","",IFERROR(INDEX(可选_寄存器汇总!$B:$B,MATCH(A6,可选_寄存器汇总!$A:$A,0)),""))</f>
        <v/>
      </c>
      <c r="J6" s="21" t="str">
        <f t="shared" si="0"/>
        <v/>
      </c>
      <c r="K6" s="23" t="str">
        <f t="shared" si="1"/>
        <v/>
      </c>
      <c r="L6" s="24" t="str">
        <f t="shared" si="2"/>
        <v/>
      </c>
      <c r="M6" s="24" t="str">
        <f t="shared" si="3"/>
        <v/>
      </c>
      <c r="N6" s="24" t="str">
        <f t="shared" si="4"/>
        <v/>
      </c>
      <c r="O6" s="23" t="str">
        <f t="shared" si="5"/>
        <v/>
      </c>
      <c r="P6" s="23" t="str">
        <f t="shared" si="6"/>
        <v/>
      </c>
      <c r="Q6" s="26" t="str">
        <f t="shared" si="7"/>
        <v/>
      </c>
      <c r="R6" t="str">
        <f t="shared" si="8"/>
        <v/>
      </c>
    </row>
    <row r="7" spans="1:18">
      <c r="A7" s="6"/>
      <c r="B7" s="6"/>
      <c r="C7" s="6"/>
      <c r="D7" s="20"/>
      <c r="E7" s="7"/>
      <c r="F7" s="7"/>
      <c r="G7" s="7"/>
      <c r="H7" s="21"/>
      <c r="I7" s="21" t="str">
        <f>IF(A7="","",IFERROR(INDEX(可选_寄存器汇总!$B:$B,MATCH(A7,可选_寄存器汇总!$A:$A,0)),""))</f>
        <v/>
      </c>
      <c r="J7" s="21" t="str">
        <f t="shared" si="0"/>
        <v/>
      </c>
      <c r="K7" s="23" t="str">
        <f t="shared" si="1"/>
        <v/>
      </c>
      <c r="L7" s="24" t="str">
        <f t="shared" si="2"/>
        <v/>
      </c>
      <c r="M7" s="24" t="str">
        <f t="shared" si="3"/>
        <v/>
      </c>
      <c r="N7" s="24" t="str">
        <f t="shared" si="4"/>
        <v/>
      </c>
      <c r="O7" s="23" t="str">
        <f t="shared" si="5"/>
        <v/>
      </c>
      <c r="P7" s="23" t="str">
        <f t="shared" si="6"/>
        <v/>
      </c>
      <c r="Q7" s="26" t="str">
        <f t="shared" si="7"/>
        <v/>
      </c>
      <c r="R7" t="str">
        <f t="shared" si="8"/>
        <v/>
      </c>
    </row>
    <row r="8" spans="1:18">
      <c r="A8" s="6"/>
      <c r="B8" s="6"/>
      <c r="C8" s="6"/>
      <c r="D8" s="20"/>
      <c r="E8" s="7"/>
      <c r="F8" s="7"/>
      <c r="G8" s="7"/>
      <c r="H8" s="21"/>
      <c r="I8" s="21" t="str">
        <f>IF(A8="","",IFERROR(INDEX(可选_寄存器汇总!$B:$B,MATCH(A8,可选_寄存器汇总!$A:$A,0)),""))</f>
        <v/>
      </c>
      <c r="J8" s="21" t="str">
        <f t="shared" si="0"/>
        <v/>
      </c>
      <c r="K8" s="23" t="str">
        <f t="shared" si="1"/>
        <v/>
      </c>
      <c r="L8" s="24" t="str">
        <f t="shared" si="2"/>
        <v/>
      </c>
      <c r="M8" s="24" t="str">
        <f t="shared" si="3"/>
        <v/>
      </c>
      <c r="N8" s="24" t="str">
        <f t="shared" si="4"/>
        <v/>
      </c>
      <c r="O8" s="23" t="str">
        <f t="shared" si="5"/>
        <v/>
      </c>
      <c r="P8" s="23" t="str">
        <f t="shared" si="6"/>
        <v/>
      </c>
      <c r="Q8" s="26" t="str">
        <f t="shared" si="7"/>
        <v/>
      </c>
      <c r="R8" t="str">
        <f t="shared" si="8"/>
        <v/>
      </c>
    </row>
    <row r="9" spans="1:18">
      <c r="A9" s="6"/>
      <c r="B9" s="6"/>
      <c r="C9" s="6"/>
      <c r="D9" s="20"/>
      <c r="E9" s="7"/>
      <c r="F9" s="7"/>
      <c r="G9" s="7"/>
      <c r="H9" s="21"/>
      <c r="I9" s="21" t="str">
        <f>IF(A9="","",IFERROR(INDEX(可选_寄存器汇总!$B:$B,MATCH(A9,可选_寄存器汇总!$A:$A,0)),""))</f>
        <v/>
      </c>
      <c r="J9" s="21" t="str">
        <f t="shared" si="0"/>
        <v/>
      </c>
      <c r="K9" s="23" t="str">
        <f t="shared" si="1"/>
        <v/>
      </c>
      <c r="L9" s="24" t="str">
        <f t="shared" si="2"/>
        <v/>
      </c>
      <c r="M9" s="24" t="str">
        <f t="shared" si="3"/>
        <v/>
      </c>
      <c r="N9" s="24" t="str">
        <f t="shared" si="4"/>
        <v/>
      </c>
      <c r="O9" s="23" t="str">
        <f t="shared" si="5"/>
        <v/>
      </c>
      <c r="P9" s="23" t="str">
        <f t="shared" si="6"/>
        <v/>
      </c>
      <c r="Q9" s="26" t="str">
        <f t="shared" si="7"/>
        <v/>
      </c>
      <c r="R9" t="str">
        <f t="shared" si="8"/>
        <v/>
      </c>
    </row>
    <row r="10" spans="1:18">
      <c r="A10" s="6"/>
      <c r="B10" s="6"/>
      <c r="C10" s="6"/>
      <c r="D10" s="20"/>
      <c r="E10" s="7"/>
      <c r="F10" s="7"/>
      <c r="G10" s="7"/>
      <c r="H10" s="21"/>
      <c r="I10" s="21" t="str">
        <f>IF(A10="","",IFERROR(INDEX(可选_寄存器汇总!$B:$B,MATCH(A10,可选_寄存器汇总!$A:$A,0)),""))</f>
        <v/>
      </c>
      <c r="J10" s="21" t="str">
        <f t="shared" si="0"/>
        <v/>
      </c>
      <c r="K10" s="23" t="str">
        <f t="shared" si="1"/>
        <v/>
      </c>
      <c r="L10" s="24" t="str">
        <f t="shared" si="2"/>
        <v/>
      </c>
      <c r="M10" s="24" t="str">
        <f t="shared" si="3"/>
        <v/>
      </c>
      <c r="N10" s="24" t="str">
        <f t="shared" si="4"/>
        <v/>
      </c>
      <c r="O10" s="23" t="str">
        <f t="shared" si="5"/>
        <v/>
      </c>
      <c r="P10" s="23" t="str">
        <f t="shared" si="6"/>
        <v/>
      </c>
      <c r="Q10" s="26" t="str">
        <f t="shared" si="7"/>
        <v/>
      </c>
      <c r="R10" t="str">
        <f t="shared" si="8"/>
        <v/>
      </c>
    </row>
    <row r="11" spans="1:18">
      <c r="A11" s="6"/>
      <c r="B11" s="6"/>
      <c r="C11" s="6"/>
      <c r="D11" s="20"/>
      <c r="E11" s="7"/>
      <c r="F11" s="7"/>
      <c r="G11" s="7"/>
      <c r="H11" s="21"/>
      <c r="I11" s="21" t="str">
        <f>IF(A11="","",IFERROR(INDEX(可选_寄存器汇总!$B:$B,MATCH(A11,可选_寄存器汇总!$A:$A,0)),""))</f>
        <v/>
      </c>
      <c r="J11" s="21" t="str">
        <f t="shared" si="0"/>
        <v/>
      </c>
      <c r="K11" s="23" t="str">
        <f t="shared" si="1"/>
        <v/>
      </c>
      <c r="L11" s="24" t="str">
        <f t="shared" si="2"/>
        <v/>
      </c>
      <c r="M11" s="24" t="str">
        <f t="shared" si="3"/>
        <v/>
      </c>
      <c r="N11" s="24" t="str">
        <f t="shared" si="4"/>
        <v/>
      </c>
      <c r="O11" s="23" t="str">
        <f t="shared" si="5"/>
        <v/>
      </c>
      <c r="P11" s="23" t="str">
        <f t="shared" si="6"/>
        <v/>
      </c>
      <c r="Q11" s="26" t="str">
        <f t="shared" si="7"/>
        <v/>
      </c>
      <c r="R11" t="str">
        <f t="shared" si="8"/>
        <v/>
      </c>
    </row>
    <row r="12" spans="1:18">
      <c r="A12" s="6"/>
      <c r="B12" s="6"/>
      <c r="C12" s="6"/>
      <c r="D12" s="20"/>
      <c r="E12" s="7"/>
      <c r="F12" s="7"/>
      <c r="G12" s="7"/>
      <c r="H12" s="21"/>
      <c r="I12" s="21" t="str">
        <f>IF(A12="","",IFERROR(INDEX(可选_寄存器汇总!$B:$B,MATCH(A12,可选_寄存器汇总!$A:$A,0)),""))</f>
        <v/>
      </c>
      <c r="J12" s="21" t="str">
        <f t="shared" si="0"/>
        <v/>
      </c>
      <c r="K12" s="23" t="str">
        <f t="shared" si="1"/>
        <v/>
      </c>
      <c r="L12" s="24" t="str">
        <f t="shared" si="2"/>
        <v/>
      </c>
      <c r="M12" s="24" t="str">
        <f t="shared" si="3"/>
        <v/>
      </c>
      <c r="N12" s="24" t="str">
        <f t="shared" si="4"/>
        <v/>
      </c>
      <c r="O12" s="23" t="str">
        <f t="shared" si="5"/>
        <v/>
      </c>
      <c r="P12" s="23" t="str">
        <f t="shared" si="6"/>
        <v/>
      </c>
      <c r="Q12" s="26" t="str">
        <f t="shared" si="7"/>
        <v/>
      </c>
      <c r="R12" t="str">
        <f t="shared" si="8"/>
        <v/>
      </c>
    </row>
    <row r="13" spans="1:18">
      <c r="A13" s="6"/>
      <c r="B13" s="6"/>
      <c r="C13" s="6"/>
      <c r="D13" s="20"/>
      <c r="E13" s="7"/>
      <c r="F13" s="7"/>
      <c r="G13" s="7"/>
      <c r="H13" s="21"/>
      <c r="I13" s="21" t="str">
        <f>IF(A13="","",IFERROR(INDEX(可选_寄存器汇总!$B:$B,MATCH(A13,可选_寄存器汇总!$A:$A,0)),""))</f>
        <v/>
      </c>
      <c r="J13" s="21" t="str">
        <f t="shared" si="0"/>
        <v/>
      </c>
      <c r="K13" s="23" t="str">
        <f t="shared" si="1"/>
        <v/>
      </c>
      <c r="L13" s="24" t="str">
        <f t="shared" si="2"/>
        <v/>
      </c>
      <c r="M13" s="24" t="str">
        <f t="shared" si="3"/>
        <v/>
      </c>
      <c r="N13" s="24" t="str">
        <f t="shared" si="4"/>
        <v/>
      </c>
      <c r="O13" s="23" t="str">
        <f t="shared" si="5"/>
        <v/>
      </c>
      <c r="P13" s="23" t="str">
        <f t="shared" si="6"/>
        <v/>
      </c>
      <c r="Q13" s="26" t="str">
        <f t="shared" si="7"/>
        <v/>
      </c>
      <c r="R13" t="str">
        <f t="shared" si="8"/>
        <v/>
      </c>
    </row>
    <row r="14" spans="1:18">
      <c r="A14" s="6"/>
      <c r="B14" s="6"/>
      <c r="C14" s="6"/>
      <c r="D14" s="20"/>
      <c r="E14" s="7"/>
      <c r="F14" s="7"/>
      <c r="G14" s="7"/>
      <c r="H14" s="21"/>
      <c r="I14" s="21" t="str">
        <f>IF(A14="","",IFERROR(INDEX(可选_寄存器汇总!$B:$B,MATCH(A14,可选_寄存器汇总!$A:$A,0)),""))</f>
        <v/>
      </c>
      <c r="J14" s="21" t="str">
        <f t="shared" si="0"/>
        <v/>
      </c>
      <c r="K14" s="23" t="str">
        <f t="shared" si="1"/>
        <v/>
      </c>
      <c r="L14" s="24" t="str">
        <f t="shared" si="2"/>
        <v/>
      </c>
      <c r="M14" s="24" t="str">
        <f t="shared" si="3"/>
        <v/>
      </c>
      <c r="N14" s="24" t="str">
        <f t="shared" si="4"/>
        <v/>
      </c>
      <c r="O14" s="23" t="str">
        <f t="shared" si="5"/>
        <v/>
      </c>
      <c r="P14" s="23" t="str">
        <f t="shared" si="6"/>
        <v/>
      </c>
      <c r="Q14" s="26" t="str">
        <f t="shared" si="7"/>
        <v/>
      </c>
      <c r="R14" t="str">
        <f t="shared" si="8"/>
        <v/>
      </c>
    </row>
    <row r="15" spans="1:18">
      <c r="A15" s="6"/>
      <c r="B15" s="6"/>
      <c r="C15" s="6"/>
      <c r="D15" s="20"/>
      <c r="E15" s="7"/>
      <c r="F15" s="7"/>
      <c r="G15" s="7"/>
      <c r="H15" s="21"/>
      <c r="I15" s="21" t="str">
        <f>IF(A15="","",IFERROR(INDEX(可选_寄存器汇总!$B:$B,MATCH(A15,可选_寄存器汇总!$A:$A,0)),""))</f>
        <v/>
      </c>
      <c r="J15" s="21" t="str">
        <f t="shared" si="0"/>
        <v/>
      </c>
      <c r="K15" s="23" t="str">
        <f t="shared" si="1"/>
        <v/>
      </c>
      <c r="L15" s="24" t="str">
        <f t="shared" si="2"/>
        <v/>
      </c>
      <c r="M15" s="24" t="str">
        <f t="shared" si="3"/>
        <v/>
      </c>
      <c r="N15" s="24" t="str">
        <f t="shared" si="4"/>
        <v/>
      </c>
      <c r="O15" s="23" t="str">
        <f t="shared" si="5"/>
        <v/>
      </c>
      <c r="P15" s="23" t="str">
        <f t="shared" si="6"/>
        <v/>
      </c>
      <c r="Q15" s="26" t="str">
        <f t="shared" si="7"/>
        <v/>
      </c>
      <c r="R15" t="str">
        <f t="shared" si="8"/>
        <v/>
      </c>
    </row>
    <row r="16" spans="1:18">
      <c r="A16" s="6"/>
      <c r="B16" s="6"/>
      <c r="C16" s="6"/>
      <c r="D16" s="20"/>
      <c r="E16" s="7"/>
      <c r="F16" s="7"/>
      <c r="G16" s="7"/>
      <c r="H16" s="21"/>
      <c r="I16" s="21" t="str">
        <f>IF(A16="","",IFERROR(INDEX(可选_寄存器汇总!$B:$B,MATCH(A16,可选_寄存器汇总!$A:$A,0)),""))</f>
        <v/>
      </c>
      <c r="J16" s="21" t="str">
        <f t="shared" si="0"/>
        <v/>
      </c>
      <c r="K16" s="23" t="str">
        <f t="shared" si="1"/>
        <v/>
      </c>
      <c r="L16" s="24" t="str">
        <f t="shared" si="2"/>
        <v/>
      </c>
      <c r="M16" s="24" t="str">
        <f t="shared" si="3"/>
        <v/>
      </c>
      <c r="N16" s="24" t="str">
        <f t="shared" si="4"/>
        <v/>
      </c>
      <c r="O16" s="23" t="str">
        <f t="shared" si="5"/>
        <v/>
      </c>
      <c r="P16" s="23" t="str">
        <f t="shared" si="6"/>
        <v/>
      </c>
      <c r="Q16" s="26" t="str">
        <f t="shared" si="7"/>
        <v/>
      </c>
      <c r="R16" t="str">
        <f t="shared" si="8"/>
        <v/>
      </c>
    </row>
    <row r="17" spans="1:18">
      <c r="A17" s="6"/>
      <c r="B17" s="6"/>
      <c r="C17" s="6"/>
      <c r="D17" s="20"/>
      <c r="E17" s="7"/>
      <c r="F17" s="7"/>
      <c r="G17" s="7"/>
      <c r="H17" s="21"/>
      <c r="I17" s="21" t="str">
        <f>IF(A17="","",IFERROR(INDEX(可选_寄存器汇总!$B:$B,MATCH(A17,可选_寄存器汇总!$A:$A,0)),""))</f>
        <v/>
      </c>
      <c r="J17" s="21" t="str">
        <f t="shared" si="0"/>
        <v/>
      </c>
      <c r="K17" s="23" t="str">
        <f t="shared" si="1"/>
        <v/>
      </c>
      <c r="L17" s="24" t="str">
        <f t="shared" si="2"/>
        <v/>
      </c>
      <c r="M17" s="24" t="str">
        <f t="shared" si="3"/>
        <v/>
      </c>
      <c r="N17" s="24" t="str">
        <f t="shared" si="4"/>
        <v/>
      </c>
      <c r="O17" s="23" t="str">
        <f t="shared" si="5"/>
        <v/>
      </c>
      <c r="P17" s="23" t="str">
        <f t="shared" si="6"/>
        <v/>
      </c>
      <c r="Q17" s="26" t="str">
        <f t="shared" si="7"/>
        <v/>
      </c>
      <c r="R17" t="str">
        <f t="shared" si="8"/>
        <v/>
      </c>
    </row>
    <row r="18" spans="1:18">
      <c r="A18" s="6"/>
      <c r="B18" s="6"/>
      <c r="C18" s="6"/>
      <c r="D18" s="20"/>
      <c r="E18" s="7"/>
      <c r="F18" s="7"/>
      <c r="G18" s="7"/>
      <c r="H18" s="21"/>
      <c r="I18" s="21" t="str">
        <f>IF(A18="","",IFERROR(INDEX(可选_寄存器汇总!$B:$B,MATCH(A18,可选_寄存器汇总!$A:$A,0)),""))</f>
        <v/>
      </c>
      <c r="J18" s="21" t="str">
        <f t="shared" si="0"/>
        <v/>
      </c>
      <c r="K18" s="23" t="str">
        <f t="shared" si="1"/>
        <v/>
      </c>
      <c r="L18" s="24" t="str">
        <f t="shared" si="2"/>
        <v/>
      </c>
      <c r="M18" s="24" t="str">
        <f t="shared" si="3"/>
        <v/>
      </c>
      <c r="N18" s="24" t="str">
        <f t="shared" si="4"/>
        <v/>
      </c>
      <c r="O18" s="23" t="str">
        <f t="shared" si="5"/>
        <v/>
      </c>
      <c r="P18" s="23" t="str">
        <f t="shared" si="6"/>
        <v/>
      </c>
      <c r="Q18" s="26" t="str">
        <f t="shared" si="7"/>
        <v/>
      </c>
      <c r="R18" t="str">
        <f t="shared" si="8"/>
        <v/>
      </c>
    </row>
    <row r="19" spans="1:18">
      <c r="A19" s="6"/>
      <c r="B19" s="6"/>
      <c r="C19" s="6"/>
      <c r="D19" s="20"/>
      <c r="E19" s="7"/>
      <c r="F19" s="7"/>
      <c r="G19" s="7"/>
      <c r="H19" s="21"/>
      <c r="I19" s="21" t="str">
        <f>IF(A19="","",IFERROR(INDEX(可选_寄存器汇总!$B:$B,MATCH(A19,可选_寄存器汇总!$A:$A,0)),""))</f>
        <v/>
      </c>
      <c r="J19" s="21" t="str">
        <f t="shared" si="0"/>
        <v/>
      </c>
      <c r="K19" s="23" t="str">
        <f t="shared" si="1"/>
        <v/>
      </c>
      <c r="L19" s="24" t="str">
        <f t="shared" si="2"/>
        <v/>
      </c>
      <c r="M19" s="24" t="str">
        <f t="shared" si="3"/>
        <v/>
      </c>
      <c r="N19" s="24" t="str">
        <f t="shared" si="4"/>
        <v/>
      </c>
      <c r="O19" s="23" t="str">
        <f t="shared" si="5"/>
        <v/>
      </c>
      <c r="P19" s="23" t="str">
        <f t="shared" si="6"/>
        <v/>
      </c>
      <c r="Q19" s="26" t="str">
        <f t="shared" si="7"/>
        <v/>
      </c>
      <c r="R19" t="str">
        <f t="shared" si="8"/>
        <v/>
      </c>
    </row>
    <row r="20" spans="1:18">
      <c r="A20" s="6"/>
      <c r="B20" s="6"/>
      <c r="C20" s="6"/>
      <c r="D20" s="20"/>
      <c r="E20" s="7"/>
      <c r="F20" s="7"/>
      <c r="G20" s="7"/>
      <c r="H20" s="21"/>
      <c r="I20" s="21" t="str">
        <f>IF(A20="","",IFERROR(INDEX(可选_寄存器汇总!$B:$B,MATCH(A20,可选_寄存器汇总!$A:$A,0)),""))</f>
        <v/>
      </c>
      <c r="J20" s="21" t="str">
        <f t="shared" si="0"/>
        <v/>
      </c>
      <c r="K20" s="23" t="str">
        <f t="shared" si="1"/>
        <v/>
      </c>
      <c r="L20" s="24" t="str">
        <f t="shared" si="2"/>
        <v/>
      </c>
      <c r="M20" s="24" t="str">
        <f t="shared" si="3"/>
        <v/>
      </c>
      <c r="N20" s="24" t="str">
        <f t="shared" si="4"/>
        <v/>
      </c>
      <c r="O20" s="23" t="str">
        <f t="shared" si="5"/>
        <v/>
      </c>
      <c r="P20" s="23" t="str">
        <f t="shared" si="6"/>
        <v/>
      </c>
      <c r="Q20" s="26" t="str">
        <f t="shared" si="7"/>
        <v/>
      </c>
      <c r="R20" t="str">
        <f t="shared" si="8"/>
        <v/>
      </c>
    </row>
    <row r="21" spans="1:18">
      <c r="A21" s="6"/>
      <c r="B21" s="6"/>
      <c r="C21" s="6"/>
      <c r="D21" s="20"/>
      <c r="E21" s="7"/>
      <c r="F21" s="7"/>
      <c r="G21" s="7"/>
      <c r="H21" s="21"/>
      <c r="I21" s="21" t="str">
        <f>IF(A21="","",IFERROR(INDEX(可选_寄存器汇总!$B:$B,MATCH(A21,可选_寄存器汇总!$A:$A,0)),""))</f>
        <v/>
      </c>
      <c r="J21" s="21" t="str">
        <f t="shared" si="0"/>
        <v/>
      </c>
      <c r="K21" s="23" t="str">
        <f t="shared" si="1"/>
        <v/>
      </c>
      <c r="L21" s="24" t="str">
        <f t="shared" si="2"/>
        <v/>
      </c>
      <c r="M21" s="24" t="str">
        <f t="shared" si="3"/>
        <v/>
      </c>
      <c r="N21" s="24" t="str">
        <f t="shared" si="4"/>
        <v/>
      </c>
      <c r="O21" s="23" t="str">
        <f t="shared" si="5"/>
        <v/>
      </c>
      <c r="P21" s="23" t="str">
        <f t="shared" si="6"/>
        <v/>
      </c>
      <c r="Q21" s="26" t="str">
        <f t="shared" si="7"/>
        <v/>
      </c>
      <c r="R21" t="str">
        <f t="shared" si="8"/>
        <v/>
      </c>
    </row>
    <row r="22" spans="1:18">
      <c r="A22" s="6"/>
      <c r="B22" s="6"/>
      <c r="C22" s="6"/>
      <c r="D22" s="20"/>
      <c r="E22" s="7"/>
      <c r="F22" s="7"/>
      <c r="G22" s="7"/>
      <c r="H22" s="21"/>
      <c r="I22" s="21" t="str">
        <f>IF(A22="","",IFERROR(INDEX(可选_寄存器汇总!$B:$B,MATCH(A22,可选_寄存器汇总!$A:$A,0)),""))</f>
        <v/>
      </c>
      <c r="J22" s="21" t="str">
        <f t="shared" si="0"/>
        <v/>
      </c>
      <c r="K22" s="23" t="str">
        <f t="shared" si="1"/>
        <v/>
      </c>
      <c r="L22" s="24" t="str">
        <f t="shared" si="2"/>
        <v/>
      </c>
      <c r="M22" s="24" t="str">
        <f t="shared" si="3"/>
        <v/>
      </c>
      <c r="N22" s="24" t="str">
        <f t="shared" si="4"/>
        <v/>
      </c>
      <c r="O22" s="23" t="str">
        <f t="shared" si="5"/>
        <v/>
      </c>
      <c r="P22" s="23" t="str">
        <f t="shared" si="6"/>
        <v/>
      </c>
      <c r="Q22" s="26" t="str">
        <f t="shared" si="7"/>
        <v/>
      </c>
      <c r="R22" t="str">
        <f t="shared" si="8"/>
        <v/>
      </c>
    </row>
    <row r="23" spans="1:18">
      <c r="A23" s="6"/>
      <c r="B23" s="6"/>
      <c r="C23" s="6"/>
      <c r="D23" s="20"/>
      <c r="E23" s="7"/>
      <c r="F23" s="7"/>
      <c r="G23" s="7"/>
      <c r="H23" s="21"/>
      <c r="I23" s="21" t="str">
        <f>IF(A23="","",IFERROR(INDEX(可选_寄存器汇总!$B:$B,MATCH(A23,可选_寄存器汇总!$A:$A,0)),""))</f>
        <v/>
      </c>
      <c r="J23" s="21" t="str">
        <f t="shared" si="0"/>
        <v/>
      </c>
      <c r="K23" s="23" t="str">
        <f t="shared" si="1"/>
        <v/>
      </c>
      <c r="L23" s="24" t="str">
        <f t="shared" si="2"/>
        <v/>
      </c>
      <c r="M23" s="24" t="str">
        <f t="shared" si="3"/>
        <v/>
      </c>
      <c r="N23" s="24" t="str">
        <f t="shared" si="4"/>
        <v/>
      </c>
      <c r="O23" s="23" t="str">
        <f t="shared" si="5"/>
        <v/>
      </c>
      <c r="P23" s="23" t="str">
        <f t="shared" si="6"/>
        <v/>
      </c>
      <c r="Q23" s="26" t="str">
        <f t="shared" si="7"/>
        <v/>
      </c>
      <c r="R23" t="str">
        <f t="shared" si="8"/>
        <v/>
      </c>
    </row>
    <row r="24" spans="1:18">
      <c r="A24" s="6"/>
      <c r="B24" s="6"/>
      <c r="C24" s="6"/>
      <c r="D24" s="20"/>
      <c r="E24" s="7"/>
      <c r="F24" s="7"/>
      <c r="G24" s="7"/>
      <c r="H24" s="21"/>
      <c r="I24" s="21" t="str">
        <f>IF(A24="","",IFERROR(INDEX(可选_寄存器汇总!$B:$B,MATCH(A24,可选_寄存器汇总!$A:$A,0)),""))</f>
        <v/>
      </c>
      <c r="J24" s="21" t="str">
        <f t="shared" si="0"/>
        <v/>
      </c>
      <c r="K24" s="23" t="str">
        <f t="shared" si="1"/>
        <v/>
      </c>
      <c r="L24" s="24" t="str">
        <f t="shared" si="2"/>
        <v/>
      </c>
      <c r="M24" s="24" t="str">
        <f t="shared" si="3"/>
        <v/>
      </c>
      <c r="N24" s="24" t="str">
        <f t="shared" si="4"/>
        <v/>
      </c>
      <c r="O24" s="23" t="str">
        <f t="shared" si="5"/>
        <v/>
      </c>
      <c r="P24" s="23" t="str">
        <f t="shared" si="6"/>
        <v/>
      </c>
      <c r="Q24" s="26" t="str">
        <f t="shared" si="7"/>
        <v/>
      </c>
      <c r="R24" t="str">
        <f t="shared" si="8"/>
        <v/>
      </c>
    </row>
    <row r="25" spans="1:18">
      <c r="A25" s="6"/>
      <c r="B25" s="6"/>
      <c r="C25" s="6"/>
      <c r="D25" s="20"/>
      <c r="E25" s="7"/>
      <c r="F25" s="7"/>
      <c r="G25" s="7"/>
      <c r="H25" s="21"/>
      <c r="I25" s="21" t="str">
        <f>IF(A25="","",IFERROR(INDEX(可选_寄存器汇总!$B:$B,MATCH(A25,可选_寄存器汇总!$A:$A,0)),""))</f>
        <v/>
      </c>
      <c r="J25" s="21" t="str">
        <f t="shared" si="0"/>
        <v/>
      </c>
      <c r="K25" s="23" t="str">
        <f t="shared" si="1"/>
        <v/>
      </c>
      <c r="L25" s="24" t="str">
        <f t="shared" si="2"/>
        <v/>
      </c>
      <c r="M25" s="24" t="str">
        <f t="shared" si="3"/>
        <v/>
      </c>
      <c r="N25" s="24" t="str">
        <f t="shared" si="4"/>
        <v/>
      </c>
      <c r="O25" s="23" t="str">
        <f t="shared" si="5"/>
        <v/>
      </c>
      <c r="P25" s="23" t="str">
        <f t="shared" si="6"/>
        <v/>
      </c>
      <c r="Q25" s="26" t="str">
        <f t="shared" si="7"/>
        <v/>
      </c>
      <c r="R25" t="str">
        <f t="shared" si="8"/>
        <v/>
      </c>
    </row>
    <row r="26" spans="1:18">
      <c r="A26" s="6"/>
      <c r="B26" s="6"/>
      <c r="C26" s="6"/>
      <c r="D26" s="20"/>
      <c r="E26" s="7"/>
      <c r="F26" s="7"/>
      <c r="G26" s="7"/>
      <c r="H26" s="21"/>
      <c r="I26" s="21" t="str">
        <f>IF(A26="","",IFERROR(INDEX(可选_寄存器汇总!$B:$B,MATCH(A26,可选_寄存器汇总!$A:$A,0)),""))</f>
        <v/>
      </c>
      <c r="J26" s="21" t="str">
        <f t="shared" si="0"/>
        <v/>
      </c>
      <c r="K26" s="23" t="str">
        <f t="shared" si="1"/>
        <v/>
      </c>
      <c r="L26" s="24" t="str">
        <f t="shared" si="2"/>
        <v/>
      </c>
      <c r="M26" s="24" t="str">
        <f t="shared" si="3"/>
        <v/>
      </c>
      <c r="N26" s="24" t="str">
        <f t="shared" si="4"/>
        <v/>
      </c>
      <c r="O26" s="23" t="str">
        <f t="shared" si="5"/>
        <v/>
      </c>
      <c r="P26" s="23" t="str">
        <f t="shared" si="6"/>
        <v/>
      </c>
      <c r="Q26" s="26" t="str">
        <f t="shared" si="7"/>
        <v/>
      </c>
      <c r="R26" t="str">
        <f t="shared" si="8"/>
        <v/>
      </c>
    </row>
    <row r="27" spans="1:18">
      <c r="A27" s="6"/>
      <c r="B27" s="6"/>
      <c r="C27" s="6"/>
      <c r="D27" s="20"/>
      <c r="E27" s="7"/>
      <c r="F27" s="7"/>
      <c r="G27" s="7"/>
      <c r="H27" s="21"/>
      <c r="I27" s="21" t="str">
        <f>IF(A27="","",IFERROR(INDEX(可选_寄存器汇总!$B:$B,MATCH(A27,可选_寄存器汇总!$A:$A,0)),""))</f>
        <v/>
      </c>
      <c r="J27" s="21" t="str">
        <f t="shared" si="0"/>
        <v/>
      </c>
      <c r="K27" s="23" t="str">
        <f t="shared" si="1"/>
        <v/>
      </c>
      <c r="L27" s="24" t="str">
        <f t="shared" si="2"/>
        <v/>
      </c>
      <c r="M27" s="24" t="str">
        <f t="shared" si="3"/>
        <v/>
      </c>
      <c r="N27" s="24" t="str">
        <f t="shared" si="4"/>
        <v/>
      </c>
      <c r="O27" s="23" t="str">
        <f t="shared" si="5"/>
        <v/>
      </c>
      <c r="P27" s="23" t="str">
        <f t="shared" si="6"/>
        <v/>
      </c>
      <c r="Q27" s="26" t="str">
        <f t="shared" si="7"/>
        <v/>
      </c>
      <c r="R27" t="str">
        <f t="shared" si="8"/>
        <v/>
      </c>
    </row>
    <row r="28" spans="1:18">
      <c r="A28" s="6"/>
      <c r="B28" s="6"/>
      <c r="C28" s="6"/>
      <c r="D28" s="20"/>
      <c r="E28" s="7"/>
      <c r="F28" s="7"/>
      <c r="G28" s="7"/>
      <c r="H28" s="21"/>
      <c r="I28" s="21" t="str">
        <f>IF(A28="","",IFERROR(INDEX(可选_寄存器汇总!$B:$B,MATCH(A28,可选_寄存器汇总!$A:$A,0)),""))</f>
        <v/>
      </c>
      <c r="J28" s="21" t="str">
        <f t="shared" si="0"/>
        <v/>
      </c>
      <c r="K28" s="23" t="str">
        <f t="shared" si="1"/>
        <v/>
      </c>
      <c r="L28" s="24" t="str">
        <f t="shared" si="2"/>
        <v/>
      </c>
      <c r="M28" s="24" t="str">
        <f t="shared" si="3"/>
        <v/>
      </c>
      <c r="N28" s="24" t="str">
        <f t="shared" si="4"/>
        <v/>
      </c>
      <c r="O28" s="23" t="str">
        <f t="shared" si="5"/>
        <v/>
      </c>
      <c r="P28" s="23" t="str">
        <f t="shared" si="6"/>
        <v/>
      </c>
      <c r="Q28" s="26" t="str">
        <f t="shared" si="7"/>
        <v/>
      </c>
      <c r="R28" t="str">
        <f t="shared" si="8"/>
        <v/>
      </c>
    </row>
    <row r="29" spans="1:18">
      <c r="A29" s="6"/>
      <c r="B29" s="6"/>
      <c r="C29" s="6"/>
      <c r="D29" s="20"/>
      <c r="E29" s="7"/>
      <c r="F29" s="7"/>
      <c r="G29" s="7"/>
      <c r="H29" s="21"/>
      <c r="I29" s="21" t="str">
        <f>IF(A29="","",IFERROR(INDEX(可选_寄存器汇总!$B:$B,MATCH(A29,可选_寄存器汇总!$A:$A,0)),""))</f>
        <v/>
      </c>
      <c r="J29" s="21" t="str">
        <f t="shared" si="0"/>
        <v/>
      </c>
      <c r="K29" s="23" t="str">
        <f t="shared" si="1"/>
        <v/>
      </c>
      <c r="L29" s="24" t="str">
        <f t="shared" si="2"/>
        <v/>
      </c>
      <c r="M29" s="24" t="str">
        <f t="shared" si="3"/>
        <v/>
      </c>
      <c r="N29" s="24" t="str">
        <f t="shared" si="4"/>
        <v/>
      </c>
      <c r="O29" s="23" t="str">
        <f t="shared" si="5"/>
        <v/>
      </c>
      <c r="P29" s="23" t="str">
        <f t="shared" si="6"/>
        <v/>
      </c>
      <c r="Q29" s="26" t="str">
        <f t="shared" si="7"/>
        <v/>
      </c>
      <c r="R29" t="str">
        <f t="shared" si="8"/>
        <v/>
      </c>
    </row>
    <row r="30" spans="1:18">
      <c r="A30" s="6"/>
      <c r="B30" s="6"/>
      <c r="C30" s="6"/>
      <c r="D30" s="20"/>
      <c r="E30" s="7"/>
      <c r="F30" s="7"/>
      <c r="G30" s="7"/>
      <c r="H30" s="21"/>
      <c r="I30" s="21" t="str">
        <f>IF(A30="","",IFERROR(INDEX(可选_寄存器汇总!$B:$B,MATCH(A30,可选_寄存器汇总!$A:$A,0)),""))</f>
        <v/>
      </c>
      <c r="J30" s="21" t="str">
        <f t="shared" si="0"/>
        <v/>
      </c>
      <c r="K30" s="23" t="str">
        <f t="shared" si="1"/>
        <v/>
      </c>
      <c r="L30" s="24" t="str">
        <f t="shared" si="2"/>
        <v/>
      </c>
      <c r="M30" s="24" t="str">
        <f t="shared" si="3"/>
        <v/>
      </c>
      <c r="N30" s="24" t="str">
        <f t="shared" si="4"/>
        <v/>
      </c>
      <c r="O30" s="23" t="str">
        <f t="shared" si="5"/>
        <v/>
      </c>
      <c r="P30" s="23" t="str">
        <f t="shared" si="6"/>
        <v/>
      </c>
      <c r="Q30" s="26" t="str">
        <f t="shared" si="7"/>
        <v/>
      </c>
      <c r="R30" t="str">
        <f t="shared" si="8"/>
        <v/>
      </c>
    </row>
    <row r="31" spans="1:18">
      <c r="A31" s="6"/>
      <c r="B31" s="6"/>
      <c r="C31" s="6"/>
      <c r="D31" s="20"/>
      <c r="E31" s="7"/>
      <c r="F31" s="7"/>
      <c r="G31" s="7"/>
      <c r="H31" s="21"/>
      <c r="I31" s="21" t="str">
        <f>IF(A31="","",IFERROR(INDEX(可选_寄存器汇总!$B:$B,MATCH(A31,可选_寄存器汇总!$A:$A,0)),""))</f>
        <v/>
      </c>
      <c r="J31" s="21" t="str">
        <f t="shared" si="0"/>
        <v/>
      </c>
      <c r="K31" s="23" t="str">
        <f t="shared" si="1"/>
        <v/>
      </c>
      <c r="L31" s="24" t="str">
        <f t="shared" si="2"/>
        <v/>
      </c>
      <c r="M31" s="24" t="str">
        <f t="shared" si="3"/>
        <v/>
      </c>
      <c r="N31" s="24" t="str">
        <f t="shared" si="4"/>
        <v/>
      </c>
      <c r="O31" s="23" t="str">
        <f t="shared" si="5"/>
        <v/>
      </c>
      <c r="P31" s="23" t="str">
        <f t="shared" si="6"/>
        <v/>
      </c>
      <c r="Q31" s="26" t="str">
        <f t="shared" si="7"/>
        <v/>
      </c>
      <c r="R31" t="str">
        <f t="shared" si="8"/>
        <v/>
      </c>
    </row>
    <row r="32" spans="1:18">
      <c r="A32" s="6"/>
      <c r="B32" s="6"/>
      <c r="C32" s="6"/>
      <c r="D32" s="20"/>
      <c r="E32" s="7"/>
      <c r="F32" s="7"/>
      <c r="G32" s="7"/>
      <c r="H32" s="21"/>
      <c r="I32" s="21" t="str">
        <f>IF(A32="","",IFERROR(INDEX(可选_寄存器汇总!$B:$B,MATCH(A32,可选_寄存器汇总!$A:$A,0)),""))</f>
        <v/>
      </c>
      <c r="J32" s="21" t="str">
        <f t="shared" si="0"/>
        <v/>
      </c>
      <c r="K32" s="23" t="str">
        <f t="shared" si="1"/>
        <v/>
      </c>
      <c r="L32" s="24" t="str">
        <f t="shared" si="2"/>
        <v/>
      </c>
      <c r="M32" s="24" t="str">
        <f t="shared" si="3"/>
        <v/>
      </c>
      <c r="N32" s="24" t="str">
        <f t="shared" si="4"/>
        <v/>
      </c>
      <c r="O32" s="23" t="str">
        <f t="shared" si="5"/>
        <v/>
      </c>
      <c r="P32" s="23" t="str">
        <f t="shared" si="6"/>
        <v/>
      </c>
      <c r="Q32" s="26" t="str">
        <f t="shared" si="7"/>
        <v/>
      </c>
      <c r="R32" t="str">
        <f t="shared" si="8"/>
        <v/>
      </c>
    </row>
    <row r="33" spans="1:18">
      <c r="A33" s="6"/>
      <c r="B33" s="6"/>
      <c r="C33" s="6"/>
      <c r="D33" s="20"/>
      <c r="E33" s="7"/>
      <c r="F33" s="7"/>
      <c r="G33" s="7"/>
      <c r="H33" s="21"/>
      <c r="I33" s="21" t="str">
        <f>IF(A33="","",IFERROR(INDEX(可选_寄存器汇总!$B:$B,MATCH(A33,可选_寄存器汇总!$A:$A,0)),""))</f>
        <v/>
      </c>
      <c r="J33" s="21" t="str">
        <f t="shared" si="0"/>
        <v/>
      </c>
      <c r="K33" s="23" t="str">
        <f t="shared" si="1"/>
        <v/>
      </c>
      <c r="L33" s="24" t="str">
        <f t="shared" si="2"/>
        <v/>
      </c>
      <c r="M33" s="24" t="str">
        <f t="shared" si="3"/>
        <v/>
      </c>
      <c r="N33" s="24" t="str">
        <f t="shared" si="4"/>
        <v/>
      </c>
      <c r="O33" s="23" t="str">
        <f t="shared" si="5"/>
        <v/>
      </c>
      <c r="P33" s="23" t="str">
        <f t="shared" si="6"/>
        <v/>
      </c>
      <c r="Q33" s="26" t="str">
        <f t="shared" si="7"/>
        <v/>
      </c>
      <c r="R33" t="str">
        <f t="shared" si="8"/>
        <v/>
      </c>
    </row>
    <row r="34" spans="1:18">
      <c r="A34" s="6"/>
      <c r="B34" s="6"/>
      <c r="C34" s="6"/>
      <c r="D34" s="20"/>
      <c r="E34" s="7"/>
      <c r="F34" s="7"/>
      <c r="G34" s="7"/>
      <c r="H34" s="21"/>
      <c r="I34" s="21" t="str">
        <f>IF(A34="","",IFERROR(INDEX(可选_寄存器汇总!$B:$B,MATCH(A34,可选_寄存器汇总!$A:$A,0)),""))</f>
        <v/>
      </c>
      <c r="J34" s="21" t="str">
        <f t="shared" si="0"/>
        <v/>
      </c>
      <c r="K34" s="23" t="str">
        <f t="shared" si="1"/>
        <v/>
      </c>
      <c r="L34" s="24" t="str">
        <f t="shared" si="2"/>
        <v/>
      </c>
      <c r="M34" s="24" t="str">
        <f t="shared" si="3"/>
        <v/>
      </c>
      <c r="N34" s="24" t="str">
        <f t="shared" si="4"/>
        <v/>
      </c>
      <c r="O34" s="23" t="str">
        <f t="shared" si="5"/>
        <v/>
      </c>
      <c r="P34" s="23" t="str">
        <f t="shared" si="6"/>
        <v/>
      </c>
      <c r="Q34" s="26" t="str">
        <f t="shared" si="7"/>
        <v/>
      </c>
      <c r="R34" t="str">
        <f t="shared" si="8"/>
        <v/>
      </c>
    </row>
    <row r="35" spans="1:18">
      <c r="A35" s="6"/>
      <c r="B35" s="6"/>
      <c r="C35" s="6"/>
      <c r="D35" s="20"/>
      <c r="E35" s="7"/>
      <c r="F35" s="7"/>
      <c r="G35" s="7"/>
      <c r="H35" s="21"/>
      <c r="I35" s="21" t="str">
        <f>IF(A35="","",IFERROR(INDEX(可选_寄存器汇总!$B:$B,MATCH(A35,可选_寄存器汇总!$A:$A,0)),""))</f>
        <v/>
      </c>
      <c r="J35" s="21" t="str">
        <f t="shared" si="0"/>
        <v/>
      </c>
      <c r="K35" s="23" t="str">
        <f t="shared" si="1"/>
        <v/>
      </c>
      <c r="L35" s="24" t="str">
        <f t="shared" si="2"/>
        <v/>
      </c>
      <c r="M35" s="24" t="str">
        <f t="shared" si="3"/>
        <v/>
      </c>
      <c r="N35" s="24" t="str">
        <f t="shared" si="4"/>
        <v/>
      </c>
      <c r="O35" s="23" t="str">
        <f t="shared" si="5"/>
        <v/>
      </c>
      <c r="P35" s="23" t="str">
        <f t="shared" si="6"/>
        <v/>
      </c>
      <c r="Q35" s="26" t="str">
        <f t="shared" si="7"/>
        <v/>
      </c>
      <c r="R35" t="str">
        <f t="shared" si="8"/>
        <v/>
      </c>
    </row>
    <row r="36" spans="1:18">
      <c r="A36" s="6"/>
      <c r="B36" s="6"/>
      <c r="C36" s="6"/>
      <c r="D36" s="20"/>
      <c r="E36" s="7"/>
      <c r="F36" s="7"/>
      <c r="G36" s="7"/>
      <c r="H36" s="21"/>
      <c r="I36" s="21" t="str">
        <f>IF(A36="","",IFERROR(INDEX(可选_寄存器汇总!$B:$B,MATCH(A36,可选_寄存器汇总!$A:$A,0)),""))</f>
        <v/>
      </c>
      <c r="J36" s="21" t="str">
        <f t="shared" si="0"/>
        <v/>
      </c>
      <c r="K36" s="23" t="str">
        <f t="shared" si="1"/>
        <v/>
      </c>
      <c r="L36" s="24" t="str">
        <f t="shared" si="2"/>
        <v/>
      </c>
      <c r="M36" s="24" t="str">
        <f t="shared" si="3"/>
        <v/>
      </c>
      <c r="N36" s="24" t="str">
        <f t="shared" si="4"/>
        <v/>
      </c>
      <c r="O36" s="23" t="str">
        <f t="shared" si="5"/>
        <v/>
      </c>
      <c r="P36" s="23" t="str">
        <f t="shared" si="6"/>
        <v/>
      </c>
      <c r="Q36" s="26" t="str">
        <f t="shared" si="7"/>
        <v/>
      </c>
      <c r="R36" t="str">
        <f t="shared" si="8"/>
        <v/>
      </c>
    </row>
    <row r="37" spans="1:18">
      <c r="A37" s="6"/>
      <c r="B37" s="6"/>
      <c r="C37" s="6"/>
      <c r="D37" s="20"/>
      <c r="E37" s="7"/>
      <c r="F37" s="7"/>
      <c r="G37" s="7"/>
      <c r="H37" s="21"/>
      <c r="I37" s="21" t="str">
        <f>IF(A37="","",IFERROR(INDEX(可选_寄存器汇总!$B:$B,MATCH(A37,可选_寄存器汇总!$A:$A,0)),""))</f>
        <v/>
      </c>
      <c r="J37" s="21" t="str">
        <f t="shared" si="0"/>
        <v/>
      </c>
      <c r="K37" s="23" t="str">
        <f t="shared" si="1"/>
        <v/>
      </c>
      <c r="L37" s="24" t="str">
        <f t="shared" si="2"/>
        <v/>
      </c>
      <c r="M37" s="24" t="str">
        <f t="shared" si="3"/>
        <v/>
      </c>
      <c r="N37" s="24" t="str">
        <f t="shared" si="4"/>
        <v/>
      </c>
      <c r="O37" s="23" t="str">
        <f t="shared" si="5"/>
        <v/>
      </c>
      <c r="P37" s="23" t="str">
        <f t="shared" si="6"/>
        <v/>
      </c>
      <c r="Q37" s="26" t="str">
        <f t="shared" si="7"/>
        <v/>
      </c>
      <c r="R37" t="str">
        <f t="shared" si="8"/>
        <v/>
      </c>
    </row>
    <row r="38" spans="1:18">
      <c r="A38" s="6"/>
      <c r="B38" s="6"/>
      <c r="C38" s="6"/>
      <c r="D38" s="20"/>
      <c r="E38" s="7"/>
      <c r="F38" s="7"/>
      <c r="G38" s="7"/>
      <c r="H38" s="21"/>
      <c r="I38" s="21" t="str">
        <f>IF(A38="","",IFERROR(INDEX(可选_寄存器汇总!$B:$B,MATCH(A38,可选_寄存器汇总!$A:$A,0)),""))</f>
        <v/>
      </c>
      <c r="J38" s="21" t="str">
        <f t="shared" si="0"/>
        <v/>
      </c>
      <c r="K38" s="23" t="str">
        <f t="shared" si="1"/>
        <v/>
      </c>
      <c r="L38" s="24" t="str">
        <f t="shared" si="2"/>
        <v/>
      </c>
      <c r="M38" s="24" t="str">
        <f t="shared" si="3"/>
        <v/>
      </c>
      <c r="N38" s="24" t="str">
        <f t="shared" si="4"/>
        <v/>
      </c>
      <c r="O38" s="23" t="str">
        <f t="shared" si="5"/>
        <v/>
      </c>
      <c r="P38" s="23" t="str">
        <f t="shared" si="6"/>
        <v/>
      </c>
      <c r="Q38" s="26" t="str">
        <f t="shared" si="7"/>
        <v/>
      </c>
      <c r="R38" t="str">
        <f t="shared" si="8"/>
        <v/>
      </c>
    </row>
    <row r="39" spans="1:18">
      <c r="A39" s="6"/>
      <c r="B39" s="6"/>
      <c r="C39" s="6"/>
      <c r="D39" s="20"/>
      <c r="E39" s="7"/>
      <c r="F39" s="7"/>
      <c r="G39" s="7"/>
      <c r="H39" s="21"/>
      <c r="I39" s="21" t="str">
        <f>IF(A39="","",IFERROR(INDEX(可选_寄存器汇总!$B:$B,MATCH(A39,可选_寄存器汇总!$A:$A,0)),""))</f>
        <v/>
      </c>
      <c r="J39" s="21" t="str">
        <f t="shared" si="0"/>
        <v/>
      </c>
      <c r="K39" s="23" t="str">
        <f t="shared" si="1"/>
        <v/>
      </c>
      <c r="L39" s="24" t="str">
        <f t="shared" si="2"/>
        <v/>
      </c>
      <c r="M39" s="24" t="str">
        <f t="shared" si="3"/>
        <v/>
      </c>
      <c r="N39" s="24" t="str">
        <f t="shared" si="4"/>
        <v/>
      </c>
      <c r="O39" s="23" t="str">
        <f t="shared" si="5"/>
        <v/>
      </c>
      <c r="P39" s="23" t="str">
        <f t="shared" si="6"/>
        <v/>
      </c>
      <c r="Q39" s="26" t="str">
        <f t="shared" si="7"/>
        <v/>
      </c>
      <c r="R39" t="str">
        <f t="shared" si="8"/>
        <v/>
      </c>
    </row>
    <row r="40" spans="1:18">
      <c r="A40" s="6"/>
      <c r="B40" s="6"/>
      <c r="C40" s="6"/>
      <c r="D40" s="20"/>
      <c r="E40" s="7"/>
      <c r="F40" s="7"/>
      <c r="G40" s="7"/>
      <c r="H40" s="21"/>
      <c r="I40" s="21" t="str">
        <f>IF(A40="","",IFERROR(INDEX(可选_寄存器汇总!$B:$B,MATCH(A40,可选_寄存器汇总!$A:$A,0)),""))</f>
        <v/>
      </c>
      <c r="J40" s="21" t="str">
        <f t="shared" si="0"/>
        <v/>
      </c>
      <c r="K40" s="23" t="str">
        <f t="shared" si="1"/>
        <v/>
      </c>
      <c r="L40" s="24" t="str">
        <f t="shared" si="2"/>
        <v/>
      </c>
      <c r="M40" s="24" t="str">
        <f t="shared" si="3"/>
        <v/>
      </c>
      <c r="N40" s="24" t="str">
        <f t="shared" si="4"/>
        <v/>
      </c>
      <c r="O40" s="23" t="str">
        <f t="shared" si="5"/>
        <v/>
      </c>
      <c r="P40" s="23" t="str">
        <f t="shared" si="6"/>
        <v/>
      </c>
      <c r="Q40" s="26" t="str">
        <f t="shared" si="7"/>
        <v/>
      </c>
      <c r="R40" t="str">
        <f t="shared" si="8"/>
        <v/>
      </c>
    </row>
    <row r="41" spans="1:18">
      <c r="A41" s="6"/>
      <c r="B41" s="6"/>
      <c r="C41" s="6"/>
      <c r="D41" s="20"/>
      <c r="E41" s="7"/>
      <c r="F41" s="7"/>
      <c r="G41" s="7"/>
      <c r="H41" s="21"/>
      <c r="I41" s="21" t="str">
        <f>IF(A41="","",IFERROR(INDEX(可选_寄存器汇总!$B:$B,MATCH(A41,可选_寄存器汇总!$A:$A,0)),""))</f>
        <v/>
      </c>
      <c r="J41" s="21" t="str">
        <f t="shared" si="0"/>
        <v/>
      </c>
      <c r="K41" s="23" t="str">
        <f t="shared" si="1"/>
        <v/>
      </c>
      <c r="L41" s="24" t="str">
        <f t="shared" si="2"/>
        <v/>
      </c>
      <c r="M41" s="24" t="str">
        <f t="shared" si="3"/>
        <v/>
      </c>
      <c r="N41" s="24" t="str">
        <f t="shared" si="4"/>
        <v/>
      </c>
      <c r="O41" s="23" t="str">
        <f t="shared" si="5"/>
        <v/>
      </c>
      <c r="P41" s="23" t="str">
        <f t="shared" si="6"/>
        <v/>
      </c>
      <c r="Q41" s="26" t="str">
        <f t="shared" si="7"/>
        <v/>
      </c>
      <c r="R41" t="str">
        <f t="shared" si="8"/>
        <v/>
      </c>
    </row>
    <row r="42" spans="1:18">
      <c r="A42" s="6"/>
      <c r="B42" s="6"/>
      <c r="C42" s="6"/>
      <c r="D42" s="20"/>
      <c r="E42" s="7"/>
      <c r="F42" s="7"/>
      <c r="G42" s="7"/>
      <c r="H42" s="21"/>
      <c r="I42" s="21" t="str">
        <f>IF(A42="","",IFERROR(INDEX(可选_寄存器汇总!$B:$B,MATCH(A42,可选_寄存器汇总!$A:$A,0)),""))</f>
        <v/>
      </c>
      <c r="J42" s="21" t="str">
        <f t="shared" si="0"/>
        <v/>
      </c>
      <c r="K42" s="23" t="str">
        <f t="shared" si="1"/>
        <v/>
      </c>
      <c r="L42" s="24" t="str">
        <f t="shared" si="2"/>
        <v/>
      </c>
      <c r="M42" s="24" t="str">
        <f t="shared" si="3"/>
        <v/>
      </c>
      <c r="N42" s="24" t="str">
        <f t="shared" si="4"/>
        <v/>
      </c>
      <c r="O42" s="23" t="str">
        <f t="shared" si="5"/>
        <v/>
      </c>
      <c r="P42" s="23" t="str">
        <f t="shared" si="6"/>
        <v/>
      </c>
      <c r="Q42" s="26" t="str">
        <f t="shared" si="7"/>
        <v/>
      </c>
      <c r="R42" t="str">
        <f t="shared" si="8"/>
        <v/>
      </c>
    </row>
    <row r="43" spans="1:18">
      <c r="A43" s="6"/>
      <c r="B43" s="6"/>
      <c r="C43" s="6"/>
      <c r="D43" s="20"/>
      <c r="E43" s="7"/>
      <c r="F43" s="7"/>
      <c r="G43" s="7"/>
      <c r="H43" s="21"/>
      <c r="I43" s="21" t="str">
        <f>IF(A43="","",IFERROR(INDEX(可选_寄存器汇总!$B:$B,MATCH(A43,可选_寄存器汇总!$A:$A,0)),""))</f>
        <v/>
      </c>
      <c r="J43" s="21" t="str">
        <f t="shared" si="0"/>
        <v/>
      </c>
      <c r="K43" s="23" t="str">
        <f t="shared" si="1"/>
        <v/>
      </c>
      <c r="L43" s="24" t="str">
        <f t="shared" si="2"/>
        <v/>
      </c>
      <c r="M43" s="24" t="str">
        <f t="shared" si="3"/>
        <v/>
      </c>
      <c r="N43" s="24" t="str">
        <f t="shared" si="4"/>
        <v/>
      </c>
      <c r="O43" s="23" t="str">
        <f t="shared" si="5"/>
        <v/>
      </c>
      <c r="P43" s="23" t="str">
        <f t="shared" si="6"/>
        <v/>
      </c>
      <c r="Q43" s="26" t="str">
        <f t="shared" si="7"/>
        <v/>
      </c>
      <c r="R43" t="str">
        <f t="shared" si="8"/>
        <v/>
      </c>
    </row>
    <row r="44" spans="1:18">
      <c r="A44" s="6"/>
      <c r="B44" s="6"/>
      <c r="C44" s="6"/>
      <c r="D44" s="20"/>
      <c r="E44" s="7"/>
      <c r="F44" s="7"/>
      <c r="G44" s="7"/>
      <c r="H44" s="21"/>
      <c r="I44" s="21" t="str">
        <f>IF(A44="","",IFERROR(INDEX(可选_寄存器汇总!$B:$B,MATCH(A44,可选_寄存器汇总!$A:$A,0)),""))</f>
        <v/>
      </c>
      <c r="J44" s="21" t="str">
        <f t="shared" si="0"/>
        <v/>
      </c>
      <c r="K44" s="23" t="str">
        <f t="shared" si="1"/>
        <v/>
      </c>
      <c r="L44" s="24" t="str">
        <f t="shared" si="2"/>
        <v/>
      </c>
      <c r="M44" s="24" t="str">
        <f t="shared" si="3"/>
        <v/>
      </c>
      <c r="N44" s="24" t="str">
        <f t="shared" si="4"/>
        <v/>
      </c>
      <c r="O44" s="23" t="str">
        <f t="shared" si="5"/>
        <v/>
      </c>
      <c r="P44" s="23" t="str">
        <f t="shared" si="6"/>
        <v/>
      </c>
      <c r="Q44" s="26" t="str">
        <f t="shared" si="7"/>
        <v/>
      </c>
      <c r="R44" t="str">
        <f t="shared" si="8"/>
        <v/>
      </c>
    </row>
    <row r="45" spans="1:18">
      <c r="A45" s="6"/>
      <c r="B45" s="6"/>
      <c r="C45" s="6"/>
      <c r="D45" s="20"/>
      <c r="E45" s="7"/>
      <c r="F45" s="7"/>
      <c r="G45" s="7"/>
      <c r="H45" s="21"/>
      <c r="I45" s="21" t="str">
        <f>IF(A45="","",IFERROR(INDEX(可选_寄存器汇总!$B:$B,MATCH(A45,可选_寄存器汇总!$A:$A,0)),""))</f>
        <v/>
      </c>
      <c r="J45" s="21" t="str">
        <f t="shared" si="0"/>
        <v/>
      </c>
      <c r="K45" s="23" t="str">
        <f t="shared" si="1"/>
        <v/>
      </c>
      <c r="L45" s="24" t="str">
        <f t="shared" si="2"/>
        <v/>
      </c>
      <c r="M45" s="24" t="str">
        <f t="shared" si="3"/>
        <v/>
      </c>
      <c r="N45" s="24" t="str">
        <f t="shared" si="4"/>
        <v/>
      </c>
      <c r="O45" s="23" t="str">
        <f t="shared" si="5"/>
        <v/>
      </c>
      <c r="P45" s="23" t="str">
        <f t="shared" si="6"/>
        <v/>
      </c>
      <c r="Q45" s="26" t="str">
        <f t="shared" si="7"/>
        <v/>
      </c>
      <c r="R45" t="str">
        <f t="shared" si="8"/>
        <v/>
      </c>
    </row>
    <row r="46" spans="1:18">
      <c r="A46" s="6"/>
      <c r="B46" s="6"/>
      <c r="C46" s="6"/>
      <c r="D46" s="20"/>
      <c r="E46" s="7"/>
      <c r="F46" s="7"/>
      <c r="G46" s="7"/>
      <c r="H46" s="21"/>
      <c r="I46" s="21" t="str">
        <f>IF(A46="","",IFERROR(INDEX(可选_寄存器汇总!$B:$B,MATCH(A46,可选_寄存器汇总!$A:$A,0)),""))</f>
        <v/>
      </c>
      <c r="J46" s="21" t="str">
        <f t="shared" si="0"/>
        <v/>
      </c>
      <c r="K46" s="23" t="str">
        <f t="shared" si="1"/>
        <v/>
      </c>
      <c r="L46" s="24" t="str">
        <f t="shared" si="2"/>
        <v/>
      </c>
      <c r="M46" s="24" t="str">
        <f t="shared" si="3"/>
        <v/>
      </c>
      <c r="N46" s="24" t="str">
        <f t="shared" si="4"/>
        <v/>
      </c>
      <c r="O46" s="23" t="str">
        <f t="shared" si="5"/>
        <v/>
      </c>
      <c r="P46" s="23" t="str">
        <f t="shared" si="6"/>
        <v/>
      </c>
      <c r="Q46" s="26" t="str">
        <f t="shared" si="7"/>
        <v/>
      </c>
      <c r="R46" t="str">
        <f t="shared" si="8"/>
        <v/>
      </c>
    </row>
    <row r="47" spans="1:18">
      <c r="A47" s="6"/>
      <c r="B47" s="6"/>
      <c r="C47" s="6"/>
      <c r="D47" s="20"/>
      <c r="E47" s="7"/>
      <c r="F47" s="7"/>
      <c r="G47" s="7"/>
      <c r="H47" s="21"/>
      <c r="I47" s="21" t="str">
        <f>IF(A47="","",IFERROR(INDEX(可选_寄存器汇总!$B:$B,MATCH(A47,可选_寄存器汇总!$A:$A,0)),""))</f>
        <v/>
      </c>
      <c r="J47" s="21" t="str">
        <f t="shared" si="0"/>
        <v/>
      </c>
      <c r="K47" s="23" t="str">
        <f t="shared" si="1"/>
        <v/>
      </c>
      <c r="L47" s="24" t="str">
        <f t="shared" si="2"/>
        <v/>
      </c>
      <c r="M47" s="24" t="str">
        <f t="shared" si="3"/>
        <v/>
      </c>
      <c r="N47" s="24" t="str">
        <f t="shared" si="4"/>
        <v/>
      </c>
      <c r="O47" s="23" t="str">
        <f t="shared" si="5"/>
        <v/>
      </c>
      <c r="P47" s="23" t="str">
        <f t="shared" si="6"/>
        <v/>
      </c>
      <c r="Q47" s="26" t="str">
        <f t="shared" si="7"/>
        <v/>
      </c>
      <c r="R47" t="str">
        <f t="shared" si="8"/>
        <v/>
      </c>
    </row>
    <row r="48" spans="1:18">
      <c r="A48" s="6"/>
      <c r="B48" s="6"/>
      <c r="C48" s="6"/>
      <c r="D48" s="20"/>
      <c r="E48" s="7"/>
      <c r="F48" s="7"/>
      <c r="G48" s="7"/>
      <c r="H48" s="21"/>
      <c r="I48" s="21" t="str">
        <f>IF(A48="","",IFERROR(INDEX(可选_寄存器汇总!$B:$B,MATCH(A48,可选_寄存器汇总!$A:$A,0)),""))</f>
        <v/>
      </c>
      <c r="J48" s="21" t="str">
        <f t="shared" si="0"/>
        <v/>
      </c>
      <c r="K48" s="23" t="str">
        <f t="shared" si="1"/>
        <v/>
      </c>
      <c r="L48" s="24" t="str">
        <f t="shared" si="2"/>
        <v/>
      </c>
      <c r="M48" s="24" t="str">
        <f t="shared" si="3"/>
        <v/>
      </c>
      <c r="N48" s="24" t="str">
        <f t="shared" si="4"/>
        <v/>
      </c>
      <c r="O48" s="23" t="str">
        <f t="shared" si="5"/>
        <v/>
      </c>
      <c r="P48" s="23" t="str">
        <f t="shared" si="6"/>
        <v/>
      </c>
      <c r="Q48" s="26" t="str">
        <f t="shared" si="7"/>
        <v/>
      </c>
      <c r="R48" t="str">
        <f t="shared" si="8"/>
        <v/>
      </c>
    </row>
    <row r="49" spans="1:18">
      <c r="A49" s="6"/>
      <c r="B49" s="6"/>
      <c r="C49" s="6"/>
      <c r="D49" s="20"/>
      <c r="E49" s="7"/>
      <c r="F49" s="7"/>
      <c r="G49" s="7"/>
      <c r="H49" s="21"/>
      <c r="I49" s="21" t="str">
        <f>IF(A49="","",IFERROR(INDEX(可选_寄存器汇总!$B:$B,MATCH(A49,可选_寄存器汇总!$A:$A,0)),""))</f>
        <v/>
      </c>
      <c r="J49" s="21" t="str">
        <f t="shared" si="0"/>
        <v/>
      </c>
      <c r="K49" s="23" t="str">
        <f t="shared" si="1"/>
        <v/>
      </c>
      <c r="L49" s="24" t="str">
        <f t="shared" si="2"/>
        <v/>
      </c>
      <c r="M49" s="24" t="str">
        <f t="shared" si="3"/>
        <v/>
      </c>
      <c r="N49" s="24" t="str">
        <f t="shared" si="4"/>
        <v/>
      </c>
      <c r="O49" s="23" t="str">
        <f t="shared" si="5"/>
        <v/>
      </c>
      <c r="P49" s="23" t="str">
        <f t="shared" si="6"/>
        <v/>
      </c>
      <c r="Q49" s="26" t="str">
        <f t="shared" si="7"/>
        <v/>
      </c>
      <c r="R49" t="str">
        <f t="shared" si="8"/>
        <v/>
      </c>
    </row>
    <row r="50" spans="1:18">
      <c r="A50" s="6"/>
      <c r="B50" s="6"/>
      <c r="C50" s="6"/>
      <c r="D50" s="20"/>
      <c r="E50" s="7"/>
      <c r="F50" s="7"/>
      <c r="G50" s="7"/>
      <c r="H50" s="21"/>
      <c r="I50" s="21" t="str">
        <f>IF(A50="","",IFERROR(INDEX(可选_寄存器汇总!$B:$B,MATCH(A50,可选_寄存器汇总!$A:$A,0)),""))</f>
        <v/>
      </c>
      <c r="J50" s="21" t="str">
        <f t="shared" si="0"/>
        <v/>
      </c>
      <c r="K50" s="23" t="str">
        <f t="shared" si="1"/>
        <v/>
      </c>
      <c r="L50" s="24" t="str">
        <f t="shared" si="2"/>
        <v/>
      </c>
      <c r="M50" s="24" t="str">
        <f t="shared" si="3"/>
        <v/>
      </c>
      <c r="N50" s="24" t="str">
        <f t="shared" si="4"/>
        <v/>
      </c>
      <c r="O50" s="23" t="str">
        <f t="shared" si="5"/>
        <v/>
      </c>
      <c r="P50" s="23" t="str">
        <f t="shared" si="6"/>
        <v/>
      </c>
      <c r="Q50" s="26" t="str">
        <f t="shared" si="7"/>
        <v/>
      </c>
      <c r="R50" t="str">
        <f t="shared" si="8"/>
        <v/>
      </c>
    </row>
    <row r="51" spans="1:18">
      <c r="A51" s="6"/>
      <c r="B51" s="6"/>
      <c r="C51" s="6"/>
      <c r="D51" s="20"/>
      <c r="E51" s="7"/>
      <c r="F51" s="7"/>
      <c r="G51" s="7"/>
      <c r="H51" s="21"/>
      <c r="I51" s="21" t="str">
        <f>IF(A51="","",IFERROR(INDEX(可选_寄存器汇总!$B:$B,MATCH(A51,可选_寄存器汇总!$A:$A,0)),""))</f>
        <v/>
      </c>
      <c r="J51" s="21" t="str">
        <f t="shared" si="0"/>
        <v/>
      </c>
      <c r="K51" s="23" t="str">
        <f t="shared" si="1"/>
        <v/>
      </c>
      <c r="L51" s="24" t="str">
        <f t="shared" si="2"/>
        <v/>
      </c>
      <c r="M51" s="24" t="str">
        <f t="shared" si="3"/>
        <v/>
      </c>
      <c r="N51" s="24" t="str">
        <f t="shared" si="4"/>
        <v/>
      </c>
      <c r="O51" s="23" t="str">
        <f t="shared" si="5"/>
        <v/>
      </c>
      <c r="P51" s="23" t="str">
        <f t="shared" si="6"/>
        <v/>
      </c>
      <c r="Q51" s="26" t="str">
        <f t="shared" si="7"/>
        <v/>
      </c>
      <c r="R51" t="str">
        <f t="shared" si="8"/>
        <v/>
      </c>
    </row>
    <row r="52" spans="1:18">
      <c r="A52" s="6"/>
      <c r="B52" s="6"/>
      <c r="C52" s="6"/>
      <c r="D52" s="20"/>
      <c r="E52" s="7"/>
      <c r="F52" s="7"/>
      <c r="G52" s="7"/>
      <c r="H52" s="21"/>
      <c r="I52" s="21" t="str">
        <f>IF(A52="","",IFERROR(INDEX(可选_寄存器汇总!$B:$B,MATCH(A52,可选_寄存器汇总!$A:$A,0)),""))</f>
        <v/>
      </c>
      <c r="J52" s="21" t="str">
        <f t="shared" si="0"/>
        <v/>
      </c>
      <c r="K52" s="23" t="str">
        <f t="shared" si="1"/>
        <v/>
      </c>
      <c r="L52" s="24" t="str">
        <f t="shared" si="2"/>
        <v/>
      </c>
      <c r="M52" s="24" t="str">
        <f t="shared" si="3"/>
        <v/>
      </c>
      <c r="N52" s="24" t="str">
        <f t="shared" si="4"/>
        <v/>
      </c>
      <c r="O52" s="23" t="str">
        <f t="shared" si="5"/>
        <v/>
      </c>
      <c r="P52" s="23" t="str">
        <f t="shared" si="6"/>
        <v/>
      </c>
      <c r="Q52" s="26" t="str">
        <f t="shared" si="7"/>
        <v/>
      </c>
      <c r="R52" t="str">
        <f t="shared" si="8"/>
        <v/>
      </c>
    </row>
    <row r="53" spans="1:18">
      <c r="A53" s="6"/>
      <c r="B53" s="6"/>
      <c r="C53" s="6"/>
      <c r="D53" s="20"/>
      <c r="E53" s="7"/>
      <c r="F53" s="7"/>
      <c r="G53" s="7"/>
      <c r="H53" s="21"/>
      <c r="I53" s="21" t="str">
        <f>IF(A53="","",IFERROR(INDEX(可选_寄存器汇总!$B:$B,MATCH(A53,可选_寄存器汇总!$A:$A,0)),""))</f>
        <v/>
      </c>
      <c r="J53" s="21" t="str">
        <f t="shared" si="0"/>
        <v/>
      </c>
      <c r="K53" s="23" t="str">
        <f t="shared" si="1"/>
        <v/>
      </c>
      <c r="L53" s="24" t="str">
        <f t="shared" si="2"/>
        <v/>
      </c>
      <c r="M53" s="24" t="str">
        <f t="shared" si="3"/>
        <v/>
      </c>
      <c r="N53" s="24" t="str">
        <f t="shared" si="4"/>
        <v/>
      </c>
      <c r="O53" s="23" t="str">
        <f t="shared" si="5"/>
        <v/>
      </c>
      <c r="P53" s="23" t="str">
        <f t="shared" si="6"/>
        <v/>
      </c>
      <c r="Q53" s="26" t="str">
        <f t="shared" si="7"/>
        <v/>
      </c>
      <c r="R53" t="str">
        <f t="shared" si="8"/>
        <v/>
      </c>
    </row>
    <row r="54" spans="1:18">
      <c r="A54" s="6"/>
      <c r="B54" s="6"/>
      <c r="C54" s="6"/>
      <c r="D54" s="20"/>
      <c r="E54" s="7"/>
      <c r="F54" s="7"/>
      <c r="G54" s="7"/>
      <c r="H54" s="21"/>
      <c r="I54" s="21" t="str">
        <f>IF(A54="","",IFERROR(INDEX(可选_寄存器汇总!$B:$B,MATCH(A54,可选_寄存器汇总!$A:$A,0)),""))</f>
        <v/>
      </c>
      <c r="J54" s="21" t="str">
        <f t="shared" si="0"/>
        <v/>
      </c>
      <c r="K54" s="23" t="str">
        <f t="shared" si="1"/>
        <v/>
      </c>
      <c r="L54" s="24" t="str">
        <f t="shared" si="2"/>
        <v/>
      </c>
      <c r="M54" s="24" t="str">
        <f t="shared" si="3"/>
        <v/>
      </c>
      <c r="N54" s="24" t="str">
        <f t="shared" si="4"/>
        <v/>
      </c>
      <c r="O54" s="23" t="str">
        <f t="shared" si="5"/>
        <v/>
      </c>
      <c r="P54" s="23" t="str">
        <f t="shared" si="6"/>
        <v/>
      </c>
      <c r="Q54" s="26" t="str">
        <f t="shared" si="7"/>
        <v/>
      </c>
      <c r="R54" t="str">
        <f t="shared" si="8"/>
        <v/>
      </c>
    </row>
    <row r="55" spans="1:18">
      <c r="A55" s="6"/>
      <c r="B55" s="6"/>
      <c r="C55" s="6"/>
      <c r="D55" s="20"/>
      <c r="E55" s="7"/>
      <c r="F55" s="7"/>
      <c r="G55" s="7"/>
      <c r="H55" s="21"/>
      <c r="I55" s="21" t="str">
        <f>IF(A55="","",IFERROR(INDEX(可选_寄存器汇总!$B:$B,MATCH(A55,可选_寄存器汇总!$A:$A,0)),""))</f>
        <v/>
      </c>
      <c r="J55" s="21" t="str">
        <f t="shared" si="0"/>
        <v/>
      </c>
      <c r="K55" s="23" t="str">
        <f t="shared" si="1"/>
        <v/>
      </c>
      <c r="L55" s="24" t="str">
        <f t="shared" si="2"/>
        <v/>
      </c>
      <c r="M55" s="24" t="str">
        <f t="shared" si="3"/>
        <v/>
      </c>
      <c r="N55" s="24" t="str">
        <f t="shared" si="4"/>
        <v/>
      </c>
      <c r="O55" s="23" t="str">
        <f t="shared" si="5"/>
        <v/>
      </c>
      <c r="P55" s="23" t="str">
        <f t="shared" si="6"/>
        <v/>
      </c>
      <c r="Q55" s="26" t="str">
        <f t="shared" si="7"/>
        <v/>
      </c>
      <c r="R55" t="str">
        <f t="shared" si="8"/>
        <v/>
      </c>
    </row>
    <row r="56" spans="1:18">
      <c r="A56" s="6"/>
      <c r="B56" s="6"/>
      <c r="C56" s="6"/>
      <c r="D56" s="20"/>
      <c r="E56" s="7"/>
      <c r="F56" s="7"/>
      <c r="G56" s="7"/>
      <c r="H56" s="21"/>
      <c r="I56" s="21" t="str">
        <f>IF(A56="","",IFERROR(INDEX(可选_寄存器汇总!$B:$B,MATCH(A56,可选_寄存器汇总!$A:$A,0)),""))</f>
        <v/>
      </c>
      <c r="J56" s="21" t="str">
        <f t="shared" si="0"/>
        <v/>
      </c>
      <c r="K56" s="23" t="str">
        <f t="shared" si="1"/>
        <v/>
      </c>
      <c r="L56" s="24" t="str">
        <f t="shared" si="2"/>
        <v/>
      </c>
      <c r="M56" s="24" t="str">
        <f t="shared" si="3"/>
        <v/>
      </c>
      <c r="N56" s="24" t="str">
        <f t="shared" si="4"/>
        <v/>
      </c>
      <c r="O56" s="23" t="str">
        <f t="shared" si="5"/>
        <v/>
      </c>
      <c r="P56" s="23" t="str">
        <f t="shared" si="6"/>
        <v/>
      </c>
      <c r="Q56" s="26" t="str">
        <f t="shared" si="7"/>
        <v/>
      </c>
      <c r="R56" t="str">
        <f t="shared" si="8"/>
        <v/>
      </c>
    </row>
    <row r="57" spans="1:18">
      <c r="A57" s="6"/>
      <c r="B57" s="6"/>
      <c r="C57" s="6"/>
      <c r="D57" s="20"/>
      <c r="E57" s="7"/>
      <c r="F57" s="7"/>
      <c r="G57" s="7"/>
      <c r="H57" s="21"/>
      <c r="I57" s="21" t="str">
        <f>IF(A57="","",IFERROR(INDEX(可选_寄存器汇总!$B:$B,MATCH(A57,可选_寄存器汇总!$A:$A,0)),""))</f>
        <v/>
      </c>
      <c r="J57" s="21" t="str">
        <f t="shared" si="0"/>
        <v/>
      </c>
      <c r="K57" s="23" t="str">
        <f t="shared" si="1"/>
        <v/>
      </c>
      <c r="L57" s="24" t="str">
        <f t="shared" si="2"/>
        <v/>
      </c>
      <c r="M57" s="24" t="str">
        <f t="shared" si="3"/>
        <v/>
      </c>
      <c r="N57" s="24" t="str">
        <f t="shared" si="4"/>
        <v/>
      </c>
      <c r="O57" s="23" t="str">
        <f t="shared" si="5"/>
        <v/>
      </c>
      <c r="P57" s="23" t="str">
        <f t="shared" si="6"/>
        <v/>
      </c>
      <c r="Q57" s="26" t="str">
        <f t="shared" si="7"/>
        <v/>
      </c>
      <c r="R57" t="str">
        <f t="shared" si="8"/>
        <v/>
      </c>
    </row>
    <row r="58" spans="1:18">
      <c r="A58" s="6"/>
      <c r="B58" s="6"/>
      <c r="C58" s="6"/>
      <c r="D58" s="20"/>
      <c r="E58" s="7"/>
      <c r="F58" s="7"/>
      <c r="G58" s="7"/>
      <c r="H58" s="21"/>
      <c r="I58" s="21" t="str">
        <f>IF(A58="","",IFERROR(INDEX(可选_寄存器汇总!$B:$B,MATCH(A58,可选_寄存器汇总!$A:$A,0)),""))</f>
        <v/>
      </c>
      <c r="J58" s="21" t="str">
        <f t="shared" si="0"/>
        <v/>
      </c>
      <c r="K58" s="23" t="str">
        <f t="shared" si="1"/>
        <v/>
      </c>
      <c r="L58" s="24" t="str">
        <f t="shared" si="2"/>
        <v/>
      </c>
      <c r="M58" s="24" t="str">
        <f t="shared" si="3"/>
        <v/>
      </c>
      <c r="N58" s="24" t="str">
        <f t="shared" si="4"/>
        <v/>
      </c>
      <c r="O58" s="23" t="str">
        <f t="shared" si="5"/>
        <v/>
      </c>
      <c r="P58" s="23" t="str">
        <f t="shared" si="6"/>
        <v/>
      </c>
      <c r="Q58" s="26" t="str">
        <f t="shared" si="7"/>
        <v/>
      </c>
      <c r="R58" t="str">
        <f t="shared" si="8"/>
        <v/>
      </c>
    </row>
    <row r="59" spans="1:18">
      <c r="A59" s="6"/>
      <c r="B59" s="6"/>
      <c r="C59" s="6"/>
      <c r="D59" s="20"/>
      <c r="E59" s="7"/>
      <c r="F59" s="7"/>
      <c r="G59" s="7"/>
      <c r="H59" s="21"/>
      <c r="I59" s="21" t="str">
        <f>IF(A59="","",IFERROR(INDEX(可选_寄存器汇总!$B:$B,MATCH(A59,可选_寄存器汇总!$A:$A,0)),""))</f>
        <v/>
      </c>
      <c r="J59" s="21" t="str">
        <f t="shared" si="0"/>
        <v/>
      </c>
      <c r="K59" s="23" t="str">
        <f t="shared" si="1"/>
        <v/>
      </c>
      <c r="L59" s="24" t="str">
        <f t="shared" si="2"/>
        <v/>
      </c>
      <c r="M59" s="24" t="str">
        <f t="shared" si="3"/>
        <v/>
      </c>
      <c r="N59" s="24" t="str">
        <f t="shared" si="4"/>
        <v/>
      </c>
      <c r="O59" s="23" t="str">
        <f t="shared" si="5"/>
        <v/>
      </c>
      <c r="P59" s="23" t="str">
        <f t="shared" si="6"/>
        <v/>
      </c>
      <c r="Q59" s="26" t="str">
        <f t="shared" si="7"/>
        <v/>
      </c>
      <c r="R59" t="str">
        <f t="shared" si="8"/>
        <v/>
      </c>
    </row>
    <row r="60" spans="1:18">
      <c r="A60" s="6"/>
      <c r="B60" s="6"/>
      <c r="C60" s="6"/>
      <c r="D60" s="20"/>
      <c r="E60" s="7"/>
      <c r="F60" s="7"/>
      <c r="G60" s="7"/>
      <c r="H60" s="21"/>
      <c r="I60" s="21" t="str">
        <f>IF(A60="","",IFERROR(INDEX(可选_寄存器汇总!$B:$B,MATCH(A60,可选_寄存器汇总!$A:$A,0)),""))</f>
        <v/>
      </c>
      <c r="J60" s="21" t="str">
        <f t="shared" si="0"/>
        <v/>
      </c>
      <c r="K60" s="23" t="str">
        <f t="shared" si="1"/>
        <v/>
      </c>
      <c r="L60" s="24" t="str">
        <f t="shared" si="2"/>
        <v/>
      </c>
      <c r="M60" s="24" t="str">
        <f t="shared" si="3"/>
        <v/>
      </c>
      <c r="N60" s="24" t="str">
        <f t="shared" si="4"/>
        <v/>
      </c>
      <c r="O60" s="23" t="str">
        <f t="shared" si="5"/>
        <v/>
      </c>
      <c r="P60" s="23" t="str">
        <f t="shared" si="6"/>
        <v/>
      </c>
      <c r="Q60" s="26" t="str">
        <f t="shared" si="7"/>
        <v/>
      </c>
      <c r="R60" t="str">
        <f t="shared" si="8"/>
        <v/>
      </c>
    </row>
    <row r="61" spans="1:18">
      <c r="A61" s="6"/>
      <c r="B61" s="6"/>
      <c r="C61" s="6"/>
      <c r="D61" s="20"/>
      <c r="E61" s="7"/>
      <c r="F61" s="7"/>
      <c r="G61" s="7"/>
      <c r="H61" s="21"/>
      <c r="I61" s="21" t="str">
        <f>IF(A61="","",IFERROR(INDEX(可选_寄存器汇总!$B:$B,MATCH(A61,可选_寄存器汇总!$A:$A,0)),""))</f>
        <v/>
      </c>
      <c r="J61" s="21" t="str">
        <f t="shared" si="0"/>
        <v/>
      </c>
      <c r="K61" s="23" t="str">
        <f t="shared" si="1"/>
        <v/>
      </c>
      <c r="L61" s="24" t="str">
        <f t="shared" si="2"/>
        <v/>
      </c>
      <c r="M61" s="24" t="str">
        <f t="shared" si="3"/>
        <v/>
      </c>
      <c r="N61" s="24" t="str">
        <f t="shared" si="4"/>
        <v/>
      </c>
      <c r="O61" s="23" t="str">
        <f t="shared" si="5"/>
        <v/>
      </c>
      <c r="P61" s="23" t="str">
        <f t="shared" si="6"/>
        <v/>
      </c>
      <c r="Q61" s="26" t="str">
        <f t="shared" si="7"/>
        <v/>
      </c>
      <c r="R61" t="str">
        <f t="shared" si="8"/>
        <v/>
      </c>
    </row>
    <row r="62" spans="1:18">
      <c r="A62" s="6"/>
      <c r="B62" s="6"/>
      <c r="C62" s="6"/>
      <c r="D62" s="20"/>
      <c r="E62" s="7"/>
      <c r="F62" s="7"/>
      <c r="G62" s="7"/>
      <c r="H62" s="21"/>
      <c r="I62" s="21" t="str">
        <f>IF(A62="","",IFERROR(INDEX(可选_寄存器汇总!$B:$B,MATCH(A62,可选_寄存器汇总!$A:$A,0)),""))</f>
        <v/>
      </c>
      <c r="J62" s="21" t="str">
        <f t="shared" si="0"/>
        <v/>
      </c>
      <c r="K62" s="23" t="str">
        <f t="shared" si="1"/>
        <v/>
      </c>
      <c r="L62" s="24" t="str">
        <f t="shared" si="2"/>
        <v/>
      </c>
      <c r="M62" s="24" t="str">
        <f t="shared" si="3"/>
        <v/>
      </c>
      <c r="N62" s="24" t="str">
        <f t="shared" si="4"/>
        <v/>
      </c>
      <c r="O62" s="23" t="str">
        <f t="shared" si="5"/>
        <v/>
      </c>
      <c r="P62" s="23" t="str">
        <f t="shared" si="6"/>
        <v/>
      </c>
      <c r="Q62" s="26" t="str">
        <f t="shared" si="7"/>
        <v/>
      </c>
      <c r="R62" t="str">
        <f t="shared" si="8"/>
        <v/>
      </c>
    </row>
    <row r="63" spans="1:18">
      <c r="A63" s="6"/>
      <c r="B63" s="6"/>
      <c r="C63" s="6"/>
      <c r="D63" s="20"/>
      <c r="E63" s="7"/>
      <c r="F63" s="7"/>
      <c r="G63" s="7"/>
      <c r="H63" s="21"/>
      <c r="I63" s="21" t="str">
        <f>IF(A63="","",IFERROR(INDEX(可选_寄存器汇总!$B:$B,MATCH(A63,可选_寄存器汇总!$A:$A,0)),""))</f>
        <v/>
      </c>
      <c r="J63" s="21" t="str">
        <f t="shared" si="0"/>
        <v/>
      </c>
      <c r="K63" s="23" t="str">
        <f t="shared" si="1"/>
        <v/>
      </c>
      <c r="L63" s="24" t="str">
        <f t="shared" si="2"/>
        <v/>
      </c>
      <c r="M63" s="24" t="str">
        <f t="shared" si="3"/>
        <v/>
      </c>
      <c r="N63" s="24" t="str">
        <f t="shared" si="4"/>
        <v/>
      </c>
      <c r="O63" s="23" t="str">
        <f t="shared" si="5"/>
        <v/>
      </c>
      <c r="P63" s="23" t="str">
        <f t="shared" si="6"/>
        <v/>
      </c>
      <c r="Q63" s="26" t="str">
        <f t="shared" si="7"/>
        <v/>
      </c>
      <c r="R63" t="str">
        <f t="shared" si="8"/>
        <v/>
      </c>
    </row>
    <row r="64" spans="1:18">
      <c r="A64" s="6"/>
      <c r="B64" s="6"/>
      <c r="C64" s="6"/>
      <c r="D64" s="20"/>
      <c r="E64" s="7"/>
      <c r="F64" s="7"/>
      <c r="G64" s="7"/>
      <c r="H64" s="21"/>
      <c r="I64" s="21" t="str">
        <f>IF(A64="","",IFERROR(INDEX(可选_寄存器汇总!$B:$B,MATCH(A64,可选_寄存器汇总!$A:$A,0)),""))</f>
        <v/>
      </c>
      <c r="J64" s="21" t="str">
        <f t="shared" si="0"/>
        <v/>
      </c>
      <c r="K64" s="23" t="str">
        <f t="shared" si="1"/>
        <v/>
      </c>
      <c r="L64" s="24" t="str">
        <f t="shared" si="2"/>
        <v/>
      </c>
      <c r="M64" s="24" t="str">
        <f t="shared" si="3"/>
        <v/>
      </c>
      <c r="N64" s="24" t="str">
        <f t="shared" si="4"/>
        <v/>
      </c>
      <c r="O64" s="23" t="str">
        <f t="shared" si="5"/>
        <v/>
      </c>
      <c r="P64" s="23" t="str">
        <f t="shared" si="6"/>
        <v/>
      </c>
      <c r="Q64" s="26" t="str">
        <f t="shared" si="7"/>
        <v/>
      </c>
      <c r="R64" t="str">
        <f t="shared" si="8"/>
        <v/>
      </c>
    </row>
    <row r="65" spans="1:18">
      <c r="A65" s="6"/>
      <c r="B65" s="6"/>
      <c r="C65" s="6"/>
      <c r="D65" s="20"/>
      <c r="E65" s="7"/>
      <c r="F65" s="7"/>
      <c r="G65" s="7"/>
      <c r="H65" s="21"/>
      <c r="I65" s="21" t="str">
        <f>IF(A65="","",IFERROR(INDEX(可选_寄存器汇总!$B:$B,MATCH(A65,可选_寄存器汇总!$A:$A,0)),""))</f>
        <v/>
      </c>
      <c r="J65" s="21" t="str">
        <f t="shared" si="0"/>
        <v/>
      </c>
      <c r="K65" s="23" t="str">
        <f t="shared" si="1"/>
        <v/>
      </c>
      <c r="L65" s="24" t="str">
        <f t="shared" si="2"/>
        <v/>
      </c>
      <c r="M65" s="24" t="str">
        <f t="shared" si="3"/>
        <v/>
      </c>
      <c r="N65" s="24" t="str">
        <f t="shared" si="4"/>
        <v/>
      </c>
      <c r="O65" s="23" t="str">
        <f t="shared" si="5"/>
        <v/>
      </c>
      <c r="P65" s="23" t="str">
        <f t="shared" si="6"/>
        <v/>
      </c>
      <c r="Q65" s="26" t="str">
        <f t="shared" si="7"/>
        <v/>
      </c>
      <c r="R65" t="str">
        <f t="shared" si="8"/>
        <v/>
      </c>
    </row>
    <row r="66" spans="1:18">
      <c r="A66" s="6"/>
      <c r="B66" s="6"/>
      <c r="C66" s="6"/>
      <c r="D66" s="20"/>
      <c r="E66" s="7"/>
      <c r="F66" s="7"/>
      <c r="G66" s="7"/>
      <c r="H66" s="21"/>
      <c r="I66" s="21" t="str">
        <f>IF(A66="","",IFERROR(INDEX(可选_寄存器汇总!$B:$B,MATCH(A66,可选_寄存器汇总!$A:$A,0)),""))</f>
        <v/>
      </c>
      <c r="J66" s="21" t="str">
        <f t="shared" si="0"/>
        <v/>
      </c>
      <c r="K66" s="23" t="str">
        <f t="shared" si="1"/>
        <v/>
      </c>
      <c r="L66" s="24" t="str">
        <f t="shared" si="2"/>
        <v/>
      </c>
      <c r="M66" s="24" t="str">
        <f t="shared" si="3"/>
        <v/>
      </c>
      <c r="N66" s="24" t="str">
        <f t="shared" si="4"/>
        <v/>
      </c>
      <c r="O66" s="23" t="str">
        <f t="shared" si="5"/>
        <v/>
      </c>
      <c r="P66" s="23" t="str">
        <f t="shared" si="6"/>
        <v/>
      </c>
      <c r="Q66" s="26" t="str">
        <f t="shared" si="7"/>
        <v/>
      </c>
      <c r="R66" t="str">
        <f t="shared" si="8"/>
        <v/>
      </c>
    </row>
    <row r="67" spans="1:18">
      <c r="A67" s="6"/>
      <c r="B67" s="6"/>
      <c r="C67" s="6"/>
      <c r="D67" s="20"/>
      <c r="E67" s="7"/>
      <c r="F67" s="7"/>
      <c r="G67" s="7"/>
      <c r="H67" s="21"/>
      <c r="I67" s="21" t="str">
        <f>IF(A67="","",IFERROR(INDEX(可选_寄存器汇总!$B:$B,MATCH(A67,可选_寄存器汇总!$A:$A,0)),""))</f>
        <v/>
      </c>
      <c r="J67" s="21" t="str">
        <f t="shared" si="0"/>
        <v/>
      </c>
      <c r="K67" s="23" t="str">
        <f t="shared" si="1"/>
        <v/>
      </c>
      <c r="L67" s="24" t="str">
        <f t="shared" si="2"/>
        <v/>
      </c>
      <c r="M67" s="24" t="str">
        <f t="shared" si="3"/>
        <v/>
      </c>
      <c r="N67" s="24" t="str">
        <f t="shared" si="4"/>
        <v/>
      </c>
      <c r="O67" s="23" t="str">
        <f t="shared" si="5"/>
        <v/>
      </c>
      <c r="P67" s="23" t="str">
        <f t="shared" si="6"/>
        <v/>
      </c>
      <c r="Q67" s="26" t="str">
        <f t="shared" si="7"/>
        <v/>
      </c>
      <c r="R67" t="str">
        <f t="shared" si="8"/>
        <v/>
      </c>
    </row>
    <row r="68" spans="1:18">
      <c r="A68" s="6"/>
      <c r="B68" s="6"/>
      <c r="C68" s="6"/>
      <c r="D68" s="20"/>
      <c r="E68" s="7"/>
      <c r="F68" s="7"/>
      <c r="G68" s="7"/>
      <c r="H68" s="21"/>
      <c r="I68" s="21" t="str">
        <f>IF(A68="","",IFERROR(INDEX(可选_寄存器汇总!$B:$B,MATCH(A68,可选_寄存器汇总!$A:$A,0)),""))</f>
        <v/>
      </c>
      <c r="J68" s="21" t="str">
        <f t="shared" ref="J68:J131" si="9">IF(D68="","",IFERROR(IF(ISNUMBER(SEARCH(":",D68)),VALUE(LEFT(D68,FIND(":",D68)-1)),VALUE(D68)),""))</f>
        <v/>
      </c>
      <c r="K68" s="23" t="str">
        <f t="shared" ref="K68:K131" si="10">IF(D68="","",IFERROR(IF(ISNUMBER(SEARCH(":",D68)),VALUE(MID(D68,FIND(":",D68)+1,99)),VALUE(D68)),""))</f>
        <v/>
      </c>
      <c r="L68" s="24" t="str">
        <f t="shared" ref="L68:L131" si="11">IF(OR(J68="",K68=""),"",IF(J68=K68,"&lt;"&amp;J68&amp;"&gt;","&lt;"&amp;J68&amp;":"&amp;K68&amp;"&gt;"))</f>
        <v/>
      </c>
      <c r="M68" s="24" t="str">
        <f t="shared" ref="M68:M131" si="12">IF(OR(J68="",K68=""),"",J68-K68+1)</f>
        <v/>
      </c>
      <c r="N68" s="24" t="str">
        <f t="shared" ref="N68:N131" si="13">IF(OR(M68="",K68=""),"",((2^M68)-1)*(2^K68))</f>
        <v/>
      </c>
      <c r="O68" s="23" t="str">
        <f t="shared" ref="O68:O131" si="14">IF(M68="","",(2^M68)-1)</f>
        <v/>
      </c>
      <c r="P68" s="23" t="str">
        <f t="shared" ref="P68:P131" si="15">IF(OR(B68="",L68=""),"",B68&amp;L68)</f>
        <v/>
      </c>
      <c r="Q68" s="26" t="str">
        <f t="shared" ref="Q68:Q131" si="16">IF(I68="","","0x"&amp;MID("0123456789ABCDEF",INT(I68/16)+1,1)&amp;MID("0123456789ABCDEF",MOD(I68,16)+1,1))</f>
        <v/>
      </c>
      <c r="R68" t="str">
        <f t="shared" ref="R68:R131" si="17">IF(COUNTA(A68:H68)=0,"",IF(OR(A68="",B68="",D68="",E68=""),"缺必填项",IF(I68="","寄存器地址缺失",IF(OR(J68="",K68=""),"bit_spec格式错误",IF(J68&lt;K68,"msb&lt;lsb",IF(E68&gt;O68,"默认值超范围","OK"))))))</f>
        <v/>
      </c>
    </row>
    <row r="69" spans="1:18">
      <c r="A69" s="6"/>
      <c r="B69" s="6"/>
      <c r="C69" s="6"/>
      <c r="D69" s="20"/>
      <c r="E69" s="7"/>
      <c r="F69" s="7"/>
      <c r="G69" s="7"/>
      <c r="H69" s="21"/>
      <c r="I69" s="21" t="str">
        <f>IF(A69="","",IFERROR(INDEX(可选_寄存器汇总!$B:$B,MATCH(A69,可选_寄存器汇总!$A:$A,0)),""))</f>
        <v/>
      </c>
      <c r="J69" s="21" t="str">
        <f t="shared" si="9"/>
        <v/>
      </c>
      <c r="K69" s="23" t="str">
        <f t="shared" si="10"/>
        <v/>
      </c>
      <c r="L69" s="24" t="str">
        <f t="shared" si="11"/>
        <v/>
      </c>
      <c r="M69" s="24" t="str">
        <f t="shared" si="12"/>
        <v/>
      </c>
      <c r="N69" s="24" t="str">
        <f t="shared" si="13"/>
        <v/>
      </c>
      <c r="O69" s="23" t="str">
        <f t="shared" si="14"/>
        <v/>
      </c>
      <c r="P69" s="23" t="str">
        <f t="shared" si="15"/>
        <v/>
      </c>
      <c r="Q69" s="26" t="str">
        <f t="shared" si="16"/>
        <v/>
      </c>
      <c r="R69" t="str">
        <f t="shared" si="17"/>
        <v/>
      </c>
    </row>
    <row r="70" spans="1:18">
      <c r="A70" s="6"/>
      <c r="B70" s="6"/>
      <c r="C70" s="6"/>
      <c r="D70" s="20"/>
      <c r="E70" s="7"/>
      <c r="F70" s="7"/>
      <c r="G70" s="7"/>
      <c r="H70" s="21"/>
      <c r="I70" s="21" t="str">
        <f>IF(A70="","",IFERROR(INDEX(可选_寄存器汇总!$B:$B,MATCH(A70,可选_寄存器汇总!$A:$A,0)),""))</f>
        <v/>
      </c>
      <c r="J70" s="21" t="str">
        <f t="shared" si="9"/>
        <v/>
      </c>
      <c r="K70" s="23" t="str">
        <f t="shared" si="10"/>
        <v/>
      </c>
      <c r="L70" s="24" t="str">
        <f t="shared" si="11"/>
        <v/>
      </c>
      <c r="M70" s="24" t="str">
        <f t="shared" si="12"/>
        <v/>
      </c>
      <c r="N70" s="24" t="str">
        <f t="shared" si="13"/>
        <v/>
      </c>
      <c r="O70" s="23" t="str">
        <f t="shared" si="14"/>
        <v/>
      </c>
      <c r="P70" s="23" t="str">
        <f t="shared" si="15"/>
        <v/>
      </c>
      <c r="Q70" s="26" t="str">
        <f t="shared" si="16"/>
        <v/>
      </c>
      <c r="R70" t="str">
        <f t="shared" si="17"/>
        <v/>
      </c>
    </row>
    <row r="71" spans="1:18">
      <c r="A71" s="6"/>
      <c r="B71" s="6"/>
      <c r="C71" s="6"/>
      <c r="D71" s="20"/>
      <c r="E71" s="7"/>
      <c r="F71" s="7"/>
      <c r="G71" s="7"/>
      <c r="H71" s="21"/>
      <c r="I71" s="21" t="str">
        <f>IF(A71="","",IFERROR(INDEX(可选_寄存器汇总!$B:$B,MATCH(A71,可选_寄存器汇总!$A:$A,0)),""))</f>
        <v/>
      </c>
      <c r="J71" s="21" t="str">
        <f t="shared" si="9"/>
        <v/>
      </c>
      <c r="K71" s="23" t="str">
        <f t="shared" si="10"/>
        <v/>
      </c>
      <c r="L71" s="24" t="str">
        <f t="shared" si="11"/>
        <v/>
      </c>
      <c r="M71" s="24" t="str">
        <f t="shared" si="12"/>
        <v/>
      </c>
      <c r="N71" s="24" t="str">
        <f t="shared" si="13"/>
        <v/>
      </c>
      <c r="O71" s="23" t="str">
        <f t="shared" si="14"/>
        <v/>
      </c>
      <c r="P71" s="23" t="str">
        <f t="shared" si="15"/>
        <v/>
      </c>
      <c r="Q71" s="26" t="str">
        <f t="shared" si="16"/>
        <v/>
      </c>
      <c r="R71" t="str">
        <f t="shared" si="17"/>
        <v/>
      </c>
    </row>
    <row r="72" spans="1:18">
      <c r="A72" s="6"/>
      <c r="B72" s="6"/>
      <c r="C72" s="6"/>
      <c r="D72" s="20"/>
      <c r="E72" s="7"/>
      <c r="F72" s="7"/>
      <c r="G72" s="7"/>
      <c r="H72" s="21"/>
      <c r="I72" s="21" t="str">
        <f>IF(A72="","",IFERROR(INDEX(可选_寄存器汇总!$B:$B,MATCH(A72,可选_寄存器汇总!$A:$A,0)),""))</f>
        <v/>
      </c>
      <c r="J72" s="21" t="str">
        <f t="shared" si="9"/>
        <v/>
      </c>
      <c r="K72" s="23" t="str">
        <f t="shared" si="10"/>
        <v/>
      </c>
      <c r="L72" s="24" t="str">
        <f t="shared" si="11"/>
        <v/>
      </c>
      <c r="M72" s="24" t="str">
        <f t="shared" si="12"/>
        <v/>
      </c>
      <c r="N72" s="24" t="str">
        <f t="shared" si="13"/>
        <v/>
      </c>
      <c r="O72" s="23" t="str">
        <f t="shared" si="14"/>
        <v/>
      </c>
      <c r="P72" s="23" t="str">
        <f t="shared" si="15"/>
        <v/>
      </c>
      <c r="Q72" s="26" t="str">
        <f t="shared" si="16"/>
        <v/>
      </c>
      <c r="R72" t="str">
        <f t="shared" si="17"/>
        <v/>
      </c>
    </row>
    <row r="73" spans="1:18">
      <c r="A73" s="6"/>
      <c r="B73" s="6"/>
      <c r="C73" s="6"/>
      <c r="D73" s="20"/>
      <c r="E73" s="7"/>
      <c r="F73" s="7"/>
      <c r="G73" s="7"/>
      <c r="H73" s="21"/>
      <c r="I73" s="21" t="str">
        <f>IF(A73="","",IFERROR(INDEX(可选_寄存器汇总!$B:$B,MATCH(A73,可选_寄存器汇总!$A:$A,0)),""))</f>
        <v/>
      </c>
      <c r="J73" s="21" t="str">
        <f t="shared" si="9"/>
        <v/>
      </c>
      <c r="K73" s="23" t="str">
        <f t="shared" si="10"/>
        <v/>
      </c>
      <c r="L73" s="24" t="str">
        <f t="shared" si="11"/>
        <v/>
      </c>
      <c r="M73" s="24" t="str">
        <f t="shared" si="12"/>
        <v/>
      </c>
      <c r="N73" s="24" t="str">
        <f t="shared" si="13"/>
        <v/>
      </c>
      <c r="O73" s="23" t="str">
        <f t="shared" si="14"/>
        <v/>
      </c>
      <c r="P73" s="23" t="str">
        <f t="shared" si="15"/>
        <v/>
      </c>
      <c r="Q73" s="26" t="str">
        <f t="shared" si="16"/>
        <v/>
      </c>
      <c r="R73" t="str">
        <f t="shared" si="17"/>
        <v/>
      </c>
    </row>
    <row r="74" spans="1:18">
      <c r="A74" s="6"/>
      <c r="B74" s="6"/>
      <c r="C74" s="6"/>
      <c r="D74" s="20"/>
      <c r="E74" s="7"/>
      <c r="F74" s="7"/>
      <c r="G74" s="7"/>
      <c r="H74" s="21"/>
      <c r="I74" s="21" t="str">
        <f>IF(A74="","",IFERROR(INDEX(可选_寄存器汇总!$B:$B,MATCH(A74,可选_寄存器汇总!$A:$A,0)),""))</f>
        <v/>
      </c>
      <c r="J74" s="21" t="str">
        <f t="shared" si="9"/>
        <v/>
      </c>
      <c r="K74" s="23" t="str">
        <f t="shared" si="10"/>
        <v/>
      </c>
      <c r="L74" s="24" t="str">
        <f t="shared" si="11"/>
        <v/>
      </c>
      <c r="M74" s="24" t="str">
        <f t="shared" si="12"/>
        <v/>
      </c>
      <c r="N74" s="24" t="str">
        <f t="shared" si="13"/>
        <v/>
      </c>
      <c r="O74" s="23" t="str">
        <f t="shared" si="14"/>
        <v/>
      </c>
      <c r="P74" s="23" t="str">
        <f t="shared" si="15"/>
        <v/>
      </c>
      <c r="Q74" s="26" t="str">
        <f t="shared" si="16"/>
        <v/>
      </c>
      <c r="R74" t="str">
        <f t="shared" si="17"/>
        <v/>
      </c>
    </row>
    <row r="75" spans="1:18">
      <c r="A75" s="6"/>
      <c r="B75" s="6"/>
      <c r="C75" s="6"/>
      <c r="D75" s="20"/>
      <c r="E75" s="7"/>
      <c r="F75" s="7"/>
      <c r="G75" s="7"/>
      <c r="H75" s="21"/>
      <c r="I75" s="21" t="str">
        <f>IF(A75="","",IFERROR(INDEX(可选_寄存器汇总!$B:$B,MATCH(A75,可选_寄存器汇总!$A:$A,0)),""))</f>
        <v/>
      </c>
      <c r="J75" s="21" t="str">
        <f t="shared" si="9"/>
        <v/>
      </c>
      <c r="K75" s="23" t="str">
        <f t="shared" si="10"/>
        <v/>
      </c>
      <c r="L75" s="24" t="str">
        <f t="shared" si="11"/>
        <v/>
      </c>
      <c r="M75" s="24" t="str">
        <f t="shared" si="12"/>
        <v/>
      </c>
      <c r="N75" s="24" t="str">
        <f t="shared" si="13"/>
        <v/>
      </c>
      <c r="O75" s="23" t="str">
        <f t="shared" si="14"/>
        <v/>
      </c>
      <c r="P75" s="23" t="str">
        <f t="shared" si="15"/>
        <v/>
      </c>
      <c r="Q75" s="26" t="str">
        <f t="shared" si="16"/>
        <v/>
      </c>
      <c r="R75" t="str">
        <f t="shared" si="17"/>
        <v/>
      </c>
    </row>
    <row r="76" spans="1:18">
      <c r="A76" s="6"/>
      <c r="B76" s="6"/>
      <c r="C76" s="6"/>
      <c r="D76" s="20"/>
      <c r="E76" s="7"/>
      <c r="F76" s="7"/>
      <c r="G76" s="7"/>
      <c r="H76" s="21"/>
      <c r="I76" s="21" t="str">
        <f>IF(A76="","",IFERROR(INDEX(可选_寄存器汇总!$B:$B,MATCH(A76,可选_寄存器汇总!$A:$A,0)),""))</f>
        <v/>
      </c>
      <c r="J76" s="21" t="str">
        <f t="shared" si="9"/>
        <v/>
      </c>
      <c r="K76" s="23" t="str">
        <f t="shared" si="10"/>
        <v/>
      </c>
      <c r="L76" s="24" t="str">
        <f t="shared" si="11"/>
        <v/>
      </c>
      <c r="M76" s="24" t="str">
        <f t="shared" si="12"/>
        <v/>
      </c>
      <c r="N76" s="24" t="str">
        <f t="shared" si="13"/>
        <v/>
      </c>
      <c r="O76" s="23" t="str">
        <f t="shared" si="14"/>
        <v/>
      </c>
      <c r="P76" s="23" t="str">
        <f t="shared" si="15"/>
        <v/>
      </c>
      <c r="Q76" s="26" t="str">
        <f t="shared" si="16"/>
        <v/>
      </c>
      <c r="R76" t="str">
        <f t="shared" si="17"/>
        <v/>
      </c>
    </row>
    <row r="77" spans="1:18">
      <c r="A77" s="6"/>
      <c r="B77" s="6"/>
      <c r="C77" s="6"/>
      <c r="D77" s="20"/>
      <c r="E77" s="7"/>
      <c r="F77" s="7"/>
      <c r="G77" s="7"/>
      <c r="H77" s="21"/>
      <c r="I77" s="21" t="str">
        <f>IF(A77="","",IFERROR(INDEX(可选_寄存器汇总!$B:$B,MATCH(A77,可选_寄存器汇总!$A:$A,0)),""))</f>
        <v/>
      </c>
      <c r="J77" s="21" t="str">
        <f t="shared" si="9"/>
        <v/>
      </c>
      <c r="K77" s="23" t="str">
        <f t="shared" si="10"/>
        <v/>
      </c>
      <c r="L77" s="24" t="str">
        <f t="shared" si="11"/>
        <v/>
      </c>
      <c r="M77" s="24" t="str">
        <f t="shared" si="12"/>
        <v/>
      </c>
      <c r="N77" s="24" t="str">
        <f t="shared" si="13"/>
        <v/>
      </c>
      <c r="O77" s="23" t="str">
        <f t="shared" si="14"/>
        <v/>
      </c>
      <c r="P77" s="23" t="str">
        <f t="shared" si="15"/>
        <v/>
      </c>
      <c r="Q77" s="26" t="str">
        <f t="shared" si="16"/>
        <v/>
      </c>
      <c r="R77" t="str">
        <f t="shared" si="17"/>
        <v/>
      </c>
    </row>
    <row r="78" spans="1:18">
      <c r="A78" s="6"/>
      <c r="B78" s="6"/>
      <c r="C78" s="6"/>
      <c r="D78" s="20"/>
      <c r="E78" s="7"/>
      <c r="F78" s="7"/>
      <c r="G78" s="7"/>
      <c r="H78" s="21"/>
      <c r="I78" s="21" t="str">
        <f>IF(A78="","",IFERROR(INDEX(可选_寄存器汇总!$B:$B,MATCH(A78,可选_寄存器汇总!$A:$A,0)),""))</f>
        <v/>
      </c>
      <c r="J78" s="21" t="str">
        <f t="shared" si="9"/>
        <v/>
      </c>
      <c r="K78" s="23" t="str">
        <f t="shared" si="10"/>
        <v/>
      </c>
      <c r="L78" s="24" t="str">
        <f t="shared" si="11"/>
        <v/>
      </c>
      <c r="M78" s="24" t="str">
        <f t="shared" si="12"/>
        <v/>
      </c>
      <c r="N78" s="24" t="str">
        <f t="shared" si="13"/>
        <v/>
      </c>
      <c r="O78" s="23" t="str">
        <f t="shared" si="14"/>
        <v/>
      </c>
      <c r="P78" s="23" t="str">
        <f t="shared" si="15"/>
        <v/>
      </c>
      <c r="Q78" s="26" t="str">
        <f t="shared" si="16"/>
        <v/>
      </c>
      <c r="R78" t="str">
        <f t="shared" si="17"/>
        <v/>
      </c>
    </row>
    <row r="79" spans="1:18">
      <c r="A79" s="6"/>
      <c r="B79" s="6"/>
      <c r="C79" s="6"/>
      <c r="D79" s="20"/>
      <c r="E79" s="7"/>
      <c r="F79" s="7"/>
      <c r="G79" s="7"/>
      <c r="H79" s="21"/>
      <c r="I79" s="21" t="str">
        <f>IF(A79="","",IFERROR(INDEX(可选_寄存器汇总!$B:$B,MATCH(A79,可选_寄存器汇总!$A:$A,0)),""))</f>
        <v/>
      </c>
      <c r="J79" s="21" t="str">
        <f t="shared" si="9"/>
        <v/>
      </c>
      <c r="K79" s="23" t="str">
        <f t="shared" si="10"/>
        <v/>
      </c>
      <c r="L79" s="24" t="str">
        <f t="shared" si="11"/>
        <v/>
      </c>
      <c r="M79" s="24" t="str">
        <f t="shared" si="12"/>
        <v/>
      </c>
      <c r="N79" s="24" t="str">
        <f t="shared" si="13"/>
        <v/>
      </c>
      <c r="O79" s="23" t="str">
        <f t="shared" si="14"/>
        <v/>
      </c>
      <c r="P79" s="23" t="str">
        <f t="shared" si="15"/>
        <v/>
      </c>
      <c r="Q79" s="26" t="str">
        <f t="shared" si="16"/>
        <v/>
      </c>
      <c r="R79" t="str">
        <f t="shared" si="17"/>
        <v/>
      </c>
    </row>
    <row r="80" spans="1:18">
      <c r="A80" s="6"/>
      <c r="B80" s="6"/>
      <c r="C80" s="6"/>
      <c r="D80" s="20"/>
      <c r="E80" s="7"/>
      <c r="F80" s="7"/>
      <c r="G80" s="7"/>
      <c r="H80" s="21"/>
      <c r="I80" s="21" t="str">
        <f>IF(A80="","",IFERROR(INDEX(可选_寄存器汇总!$B:$B,MATCH(A80,可选_寄存器汇总!$A:$A,0)),""))</f>
        <v/>
      </c>
      <c r="J80" s="21" t="str">
        <f t="shared" si="9"/>
        <v/>
      </c>
      <c r="K80" s="23" t="str">
        <f t="shared" si="10"/>
        <v/>
      </c>
      <c r="L80" s="24" t="str">
        <f t="shared" si="11"/>
        <v/>
      </c>
      <c r="M80" s="24" t="str">
        <f t="shared" si="12"/>
        <v/>
      </c>
      <c r="N80" s="24" t="str">
        <f t="shared" si="13"/>
        <v/>
      </c>
      <c r="O80" s="23" t="str">
        <f t="shared" si="14"/>
        <v/>
      </c>
      <c r="P80" s="23" t="str">
        <f t="shared" si="15"/>
        <v/>
      </c>
      <c r="Q80" s="26" t="str">
        <f t="shared" si="16"/>
        <v/>
      </c>
      <c r="R80" t="str">
        <f t="shared" si="17"/>
        <v/>
      </c>
    </row>
    <row r="81" spans="1:18">
      <c r="A81" s="6"/>
      <c r="B81" s="6"/>
      <c r="C81" s="6"/>
      <c r="D81" s="20"/>
      <c r="E81" s="7"/>
      <c r="F81" s="7"/>
      <c r="G81" s="7"/>
      <c r="H81" s="21"/>
      <c r="I81" s="21" t="str">
        <f>IF(A81="","",IFERROR(INDEX(可选_寄存器汇总!$B:$B,MATCH(A81,可选_寄存器汇总!$A:$A,0)),""))</f>
        <v/>
      </c>
      <c r="J81" s="21" t="str">
        <f t="shared" si="9"/>
        <v/>
      </c>
      <c r="K81" s="23" t="str">
        <f t="shared" si="10"/>
        <v/>
      </c>
      <c r="L81" s="24" t="str">
        <f t="shared" si="11"/>
        <v/>
      </c>
      <c r="M81" s="24" t="str">
        <f t="shared" si="12"/>
        <v/>
      </c>
      <c r="N81" s="24" t="str">
        <f t="shared" si="13"/>
        <v/>
      </c>
      <c r="O81" s="23" t="str">
        <f t="shared" si="14"/>
        <v/>
      </c>
      <c r="P81" s="23" t="str">
        <f t="shared" si="15"/>
        <v/>
      </c>
      <c r="Q81" s="26" t="str">
        <f t="shared" si="16"/>
        <v/>
      </c>
      <c r="R81" t="str">
        <f t="shared" si="17"/>
        <v/>
      </c>
    </row>
    <row r="82" spans="1:18">
      <c r="A82" s="6"/>
      <c r="B82" s="6"/>
      <c r="C82" s="6"/>
      <c r="D82" s="20"/>
      <c r="E82" s="7"/>
      <c r="F82" s="7"/>
      <c r="G82" s="7"/>
      <c r="H82" s="21"/>
      <c r="I82" s="21" t="str">
        <f>IF(A82="","",IFERROR(INDEX(可选_寄存器汇总!$B:$B,MATCH(A82,可选_寄存器汇总!$A:$A,0)),""))</f>
        <v/>
      </c>
      <c r="J82" s="21" t="str">
        <f t="shared" si="9"/>
        <v/>
      </c>
      <c r="K82" s="23" t="str">
        <f t="shared" si="10"/>
        <v/>
      </c>
      <c r="L82" s="24" t="str">
        <f t="shared" si="11"/>
        <v/>
      </c>
      <c r="M82" s="24" t="str">
        <f t="shared" si="12"/>
        <v/>
      </c>
      <c r="N82" s="24" t="str">
        <f t="shared" si="13"/>
        <v/>
      </c>
      <c r="O82" s="23" t="str">
        <f t="shared" si="14"/>
        <v/>
      </c>
      <c r="P82" s="23" t="str">
        <f t="shared" si="15"/>
        <v/>
      </c>
      <c r="Q82" s="26" t="str">
        <f t="shared" si="16"/>
        <v/>
      </c>
      <c r="R82" t="str">
        <f t="shared" si="17"/>
        <v/>
      </c>
    </row>
    <row r="83" spans="1:18">
      <c r="A83" s="6"/>
      <c r="B83" s="6"/>
      <c r="C83" s="6"/>
      <c r="D83" s="20"/>
      <c r="E83" s="7"/>
      <c r="F83" s="7"/>
      <c r="G83" s="7"/>
      <c r="H83" s="21"/>
      <c r="I83" s="21" t="str">
        <f>IF(A83="","",IFERROR(INDEX(可选_寄存器汇总!$B:$B,MATCH(A83,可选_寄存器汇总!$A:$A,0)),""))</f>
        <v/>
      </c>
      <c r="J83" s="21" t="str">
        <f t="shared" si="9"/>
        <v/>
      </c>
      <c r="K83" s="23" t="str">
        <f t="shared" si="10"/>
        <v/>
      </c>
      <c r="L83" s="24" t="str">
        <f t="shared" si="11"/>
        <v/>
      </c>
      <c r="M83" s="24" t="str">
        <f t="shared" si="12"/>
        <v/>
      </c>
      <c r="N83" s="24" t="str">
        <f t="shared" si="13"/>
        <v/>
      </c>
      <c r="O83" s="23" t="str">
        <f t="shared" si="14"/>
        <v/>
      </c>
      <c r="P83" s="23" t="str">
        <f t="shared" si="15"/>
        <v/>
      </c>
      <c r="Q83" s="26" t="str">
        <f t="shared" si="16"/>
        <v/>
      </c>
      <c r="R83" t="str">
        <f t="shared" si="17"/>
        <v/>
      </c>
    </row>
    <row r="84" spans="1:18">
      <c r="A84" s="6"/>
      <c r="B84" s="6"/>
      <c r="C84" s="6"/>
      <c r="D84" s="20"/>
      <c r="E84" s="7"/>
      <c r="F84" s="7"/>
      <c r="G84" s="7"/>
      <c r="H84" s="21"/>
      <c r="I84" s="21" t="str">
        <f>IF(A84="","",IFERROR(INDEX(可选_寄存器汇总!$B:$B,MATCH(A84,可选_寄存器汇总!$A:$A,0)),""))</f>
        <v/>
      </c>
      <c r="J84" s="21" t="str">
        <f t="shared" si="9"/>
        <v/>
      </c>
      <c r="K84" s="23" t="str">
        <f t="shared" si="10"/>
        <v/>
      </c>
      <c r="L84" s="24" t="str">
        <f t="shared" si="11"/>
        <v/>
      </c>
      <c r="M84" s="24" t="str">
        <f t="shared" si="12"/>
        <v/>
      </c>
      <c r="N84" s="24" t="str">
        <f t="shared" si="13"/>
        <v/>
      </c>
      <c r="O84" s="23" t="str">
        <f t="shared" si="14"/>
        <v/>
      </c>
      <c r="P84" s="23" t="str">
        <f t="shared" si="15"/>
        <v/>
      </c>
      <c r="Q84" s="26" t="str">
        <f t="shared" si="16"/>
        <v/>
      </c>
      <c r="R84" t="str">
        <f t="shared" si="17"/>
        <v/>
      </c>
    </row>
    <row r="85" spans="1:18">
      <c r="A85" s="6"/>
      <c r="B85" s="6"/>
      <c r="C85" s="6"/>
      <c r="D85" s="20"/>
      <c r="E85" s="7"/>
      <c r="F85" s="7"/>
      <c r="G85" s="7"/>
      <c r="H85" s="21"/>
      <c r="I85" s="21" t="str">
        <f>IF(A85="","",IFERROR(INDEX(可选_寄存器汇总!$B:$B,MATCH(A85,可选_寄存器汇总!$A:$A,0)),""))</f>
        <v/>
      </c>
      <c r="J85" s="21" t="str">
        <f t="shared" si="9"/>
        <v/>
      </c>
      <c r="K85" s="23" t="str">
        <f t="shared" si="10"/>
        <v/>
      </c>
      <c r="L85" s="24" t="str">
        <f t="shared" si="11"/>
        <v/>
      </c>
      <c r="M85" s="24" t="str">
        <f t="shared" si="12"/>
        <v/>
      </c>
      <c r="N85" s="24" t="str">
        <f t="shared" si="13"/>
        <v/>
      </c>
      <c r="O85" s="23" t="str">
        <f t="shared" si="14"/>
        <v/>
      </c>
      <c r="P85" s="23" t="str">
        <f t="shared" si="15"/>
        <v/>
      </c>
      <c r="Q85" s="26" t="str">
        <f t="shared" si="16"/>
        <v/>
      </c>
      <c r="R85" t="str">
        <f t="shared" si="17"/>
        <v/>
      </c>
    </row>
    <row r="86" spans="1:18">
      <c r="A86" s="6"/>
      <c r="B86" s="6"/>
      <c r="C86" s="6"/>
      <c r="D86" s="20"/>
      <c r="E86" s="7"/>
      <c r="F86" s="7"/>
      <c r="G86" s="7"/>
      <c r="H86" s="21"/>
      <c r="I86" s="21" t="str">
        <f>IF(A86="","",IFERROR(INDEX(可选_寄存器汇总!$B:$B,MATCH(A86,可选_寄存器汇总!$A:$A,0)),""))</f>
        <v/>
      </c>
      <c r="J86" s="21" t="str">
        <f t="shared" si="9"/>
        <v/>
      </c>
      <c r="K86" s="23" t="str">
        <f t="shared" si="10"/>
        <v/>
      </c>
      <c r="L86" s="24" t="str">
        <f t="shared" si="11"/>
        <v/>
      </c>
      <c r="M86" s="24" t="str">
        <f t="shared" si="12"/>
        <v/>
      </c>
      <c r="N86" s="24" t="str">
        <f t="shared" si="13"/>
        <v/>
      </c>
      <c r="O86" s="23" t="str">
        <f t="shared" si="14"/>
        <v/>
      </c>
      <c r="P86" s="23" t="str">
        <f t="shared" si="15"/>
        <v/>
      </c>
      <c r="Q86" s="26" t="str">
        <f t="shared" si="16"/>
        <v/>
      </c>
      <c r="R86" t="str">
        <f t="shared" si="17"/>
        <v/>
      </c>
    </row>
    <row r="87" spans="1:18">
      <c r="A87" s="6"/>
      <c r="B87" s="6"/>
      <c r="C87" s="6"/>
      <c r="D87" s="20"/>
      <c r="E87" s="7"/>
      <c r="F87" s="7"/>
      <c r="G87" s="7"/>
      <c r="H87" s="21"/>
      <c r="I87" s="21" t="str">
        <f>IF(A87="","",IFERROR(INDEX(可选_寄存器汇总!$B:$B,MATCH(A87,可选_寄存器汇总!$A:$A,0)),""))</f>
        <v/>
      </c>
      <c r="J87" s="21" t="str">
        <f t="shared" si="9"/>
        <v/>
      </c>
      <c r="K87" s="23" t="str">
        <f t="shared" si="10"/>
        <v/>
      </c>
      <c r="L87" s="24" t="str">
        <f t="shared" si="11"/>
        <v/>
      </c>
      <c r="M87" s="24" t="str">
        <f t="shared" si="12"/>
        <v/>
      </c>
      <c r="N87" s="24" t="str">
        <f t="shared" si="13"/>
        <v/>
      </c>
      <c r="O87" s="23" t="str">
        <f t="shared" si="14"/>
        <v/>
      </c>
      <c r="P87" s="23" t="str">
        <f t="shared" si="15"/>
        <v/>
      </c>
      <c r="Q87" s="26" t="str">
        <f t="shared" si="16"/>
        <v/>
      </c>
      <c r="R87" t="str">
        <f t="shared" si="17"/>
        <v/>
      </c>
    </row>
    <row r="88" spans="1:18">
      <c r="A88" s="6"/>
      <c r="B88" s="6"/>
      <c r="C88" s="6"/>
      <c r="D88" s="20"/>
      <c r="E88" s="7"/>
      <c r="F88" s="7"/>
      <c r="G88" s="7"/>
      <c r="H88" s="21"/>
      <c r="I88" s="21" t="str">
        <f>IF(A88="","",IFERROR(INDEX(可选_寄存器汇总!$B:$B,MATCH(A88,可选_寄存器汇总!$A:$A,0)),""))</f>
        <v/>
      </c>
      <c r="J88" s="21" t="str">
        <f t="shared" si="9"/>
        <v/>
      </c>
      <c r="K88" s="23" t="str">
        <f t="shared" si="10"/>
        <v/>
      </c>
      <c r="L88" s="24" t="str">
        <f t="shared" si="11"/>
        <v/>
      </c>
      <c r="M88" s="24" t="str">
        <f t="shared" si="12"/>
        <v/>
      </c>
      <c r="N88" s="24" t="str">
        <f t="shared" si="13"/>
        <v/>
      </c>
      <c r="O88" s="23" t="str">
        <f t="shared" si="14"/>
        <v/>
      </c>
      <c r="P88" s="23" t="str">
        <f t="shared" si="15"/>
        <v/>
      </c>
      <c r="Q88" s="26" t="str">
        <f t="shared" si="16"/>
        <v/>
      </c>
      <c r="R88" t="str">
        <f t="shared" si="17"/>
        <v/>
      </c>
    </row>
    <row r="89" spans="1:18">
      <c r="A89" s="6"/>
      <c r="B89" s="6"/>
      <c r="C89" s="6"/>
      <c r="D89" s="20"/>
      <c r="E89" s="7"/>
      <c r="F89" s="7"/>
      <c r="G89" s="7"/>
      <c r="H89" s="21"/>
      <c r="I89" s="21" t="str">
        <f>IF(A89="","",IFERROR(INDEX(可选_寄存器汇总!$B:$B,MATCH(A89,可选_寄存器汇总!$A:$A,0)),""))</f>
        <v/>
      </c>
      <c r="J89" s="21" t="str">
        <f t="shared" si="9"/>
        <v/>
      </c>
      <c r="K89" s="23" t="str">
        <f t="shared" si="10"/>
        <v/>
      </c>
      <c r="L89" s="24" t="str">
        <f t="shared" si="11"/>
        <v/>
      </c>
      <c r="M89" s="24" t="str">
        <f t="shared" si="12"/>
        <v/>
      </c>
      <c r="N89" s="24" t="str">
        <f t="shared" si="13"/>
        <v/>
      </c>
      <c r="O89" s="23" t="str">
        <f t="shared" si="14"/>
        <v/>
      </c>
      <c r="P89" s="23" t="str">
        <f t="shared" si="15"/>
        <v/>
      </c>
      <c r="Q89" s="26" t="str">
        <f t="shared" si="16"/>
        <v/>
      </c>
      <c r="R89" t="str">
        <f t="shared" si="17"/>
        <v/>
      </c>
    </row>
    <row r="90" spans="1:18">
      <c r="A90" s="6"/>
      <c r="B90" s="6"/>
      <c r="C90" s="6"/>
      <c r="D90" s="20"/>
      <c r="E90" s="7"/>
      <c r="F90" s="7"/>
      <c r="G90" s="7"/>
      <c r="H90" s="21"/>
      <c r="I90" s="21" t="str">
        <f>IF(A90="","",IFERROR(INDEX(可选_寄存器汇总!$B:$B,MATCH(A90,可选_寄存器汇总!$A:$A,0)),""))</f>
        <v/>
      </c>
      <c r="J90" s="21" t="str">
        <f t="shared" si="9"/>
        <v/>
      </c>
      <c r="K90" s="23" t="str">
        <f t="shared" si="10"/>
        <v/>
      </c>
      <c r="L90" s="24" t="str">
        <f t="shared" si="11"/>
        <v/>
      </c>
      <c r="M90" s="24" t="str">
        <f t="shared" si="12"/>
        <v/>
      </c>
      <c r="N90" s="24" t="str">
        <f t="shared" si="13"/>
        <v/>
      </c>
      <c r="O90" s="23" t="str">
        <f t="shared" si="14"/>
        <v/>
      </c>
      <c r="P90" s="23" t="str">
        <f t="shared" si="15"/>
        <v/>
      </c>
      <c r="Q90" s="26" t="str">
        <f t="shared" si="16"/>
        <v/>
      </c>
      <c r="R90" t="str">
        <f t="shared" si="17"/>
        <v/>
      </c>
    </row>
    <row r="91" spans="1:18">
      <c r="A91" s="6"/>
      <c r="B91" s="6"/>
      <c r="C91" s="6"/>
      <c r="D91" s="20"/>
      <c r="E91" s="7"/>
      <c r="F91" s="7"/>
      <c r="G91" s="7"/>
      <c r="H91" s="21"/>
      <c r="I91" s="21" t="str">
        <f>IF(A91="","",IFERROR(INDEX(可选_寄存器汇总!$B:$B,MATCH(A91,可选_寄存器汇总!$A:$A,0)),""))</f>
        <v/>
      </c>
      <c r="J91" s="21" t="str">
        <f t="shared" si="9"/>
        <v/>
      </c>
      <c r="K91" s="23" t="str">
        <f t="shared" si="10"/>
        <v/>
      </c>
      <c r="L91" s="24" t="str">
        <f t="shared" si="11"/>
        <v/>
      </c>
      <c r="M91" s="24" t="str">
        <f t="shared" si="12"/>
        <v/>
      </c>
      <c r="N91" s="24" t="str">
        <f t="shared" si="13"/>
        <v/>
      </c>
      <c r="O91" s="23" t="str">
        <f t="shared" si="14"/>
        <v/>
      </c>
      <c r="P91" s="23" t="str">
        <f t="shared" si="15"/>
        <v/>
      </c>
      <c r="Q91" s="26" t="str">
        <f t="shared" si="16"/>
        <v/>
      </c>
      <c r="R91" t="str">
        <f t="shared" si="17"/>
        <v/>
      </c>
    </row>
    <row r="92" spans="1:18">
      <c r="A92" s="6"/>
      <c r="B92" s="6"/>
      <c r="C92" s="6"/>
      <c r="D92" s="20"/>
      <c r="E92" s="7"/>
      <c r="F92" s="7"/>
      <c r="G92" s="7"/>
      <c r="H92" s="21"/>
      <c r="I92" s="21" t="str">
        <f>IF(A92="","",IFERROR(INDEX(可选_寄存器汇总!$B:$B,MATCH(A92,可选_寄存器汇总!$A:$A,0)),""))</f>
        <v/>
      </c>
      <c r="J92" s="21" t="str">
        <f t="shared" si="9"/>
        <v/>
      </c>
      <c r="K92" s="23" t="str">
        <f t="shared" si="10"/>
        <v/>
      </c>
      <c r="L92" s="24" t="str">
        <f t="shared" si="11"/>
        <v/>
      </c>
      <c r="M92" s="24" t="str">
        <f t="shared" si="12"/>
        <v/>
      </c>
      <c r="N92" s="24" t="str">
        <f t="shared" si="13"/>
        <v/>
      </c>
      <c r="O92" s="23" t="str">
        <f t="shared" si="14"/>
        <v/>
      </c>
      <c r="P92" s="23" t="str">
        <f t="shared" si="15"/>
        <v/>
      </c>
      <c r="Q92" s="26" t="str">
        <f t="shared" si="16"/>
        <v/>
      </c>
      <c r="R92" t="str">
        <f t="shared" si="17"/>
        <v/>
      </c>
    </row>
    <row r="93" spans="1:18">
      <c r="A93" s="6"/>
      <c r="B93" s="6"/>
      <c r="C93" s="6"/>
      <c r="D93" s="20"/>
      <c r="E93" s="7"/>
      <c r="F93" s="7"/>
      <c r="G93" s="7"/>
      <c r="H93" s="21"/>
      <c r="I93" s="21" t="str">
        <f>IF(A93="","",IFERROR(INDEX(可选_寄存器汇总!$B:$B,MATCH(A93,可选_寄存器汇总!$A:$A,0)),""))</f>
        <v/>
      </c>
      <c r="J93" s="21" t="str">
        <f t="shared" si="9"/>
        <v/>
      </c>
      <c r="K93" s="23" t="str">
        <f t="shared" si="10"/>
        <v/>
      </c>
      <c r="L93" s="24" t="str">
        <f t="shared" si="11"/>
        <v/>
      </c>
      <c r="M93" s="24" t="str">
        <f t="shared" si="12"/>
        <v/>
      </c>
      <c r="N93" s="24" t="str">
        <f t="shared" si="13"/>
        <v/>
      </c>
      <c r="O93" s="23" t="str">
        <f t="shared" si="14"/>
        <v/>
      </c>
      <c r="P93" s="23" t="str">
        <f t="shared" si="15"/>
        <v/>
      </c>
      <c r="Q93" s="26" t="str">
        <f t="shared" si="16"/>
        <v/>
      </c>
      <c r="R93" t="str">
        <f t="shared" si="17"/>
        <v/>
      </c>
    </row>
    <row r="94" spans="1:18">
      <c r="A94" s="6"/>
      <c r="B94" s="6"/>
      <c r="C94" s="6"/>
      <c r="D94" s="20"/>
      <c r="E94" s="7"/>
      <c r="F94" s="7"/>
      <c r="G94" s="7"/>
      <c r="H94" s="21"/>
      <c r="I94" s="21" t="str">
        <f>IF(A94="","",IFERROR(INDEX(可选_寄存器汇总!$B:$B,MATCH(A94,可选_寄存器汇总!$A:$A,0)),""))</f>
        <v/>
      </c>
      <c r="J94" s="21" t="str">
        <f t="shared" si="9"/>
        <v/>
      </c>
      <c r="K94" s="23" t="str">
        <f t="shared" si="10"/>
        <v/>
      </c>
      <c r="L94" s="24" t="str">
        <f t="shared" si="11"/>
        <v/>
      </c>
      <c r="M94" s="24" t="str">
        <f t="shared" si="12"/>
        <v/>
      </c>
      <c r="N94" s="24" t="str">
        <f t="shared" si="13"/>
        <v/>
      </c>
      <c r="O94" s="23" t="str">
        <f t="shared" si="14"/>
        <v/>
      </c>
      <c r="P94" s="23" t="str">
        <f t="shared" si="15"/>
        <v/>
      </c>
      <c r="Q94" s="26" t="str">
        <f t="shared" si="16"/>
        <v/>
      </c>
      <c r="R94" t="str">
        <f t="shared" si="17"/>
        <v/>
      </c>
    </row>
    <row r="95" spans="1:18">
      <c r="A95" s="6"/>
      <c r="B95" s="6"/>
      <c r="C95" s="6"/>
      <c r="D95" s="20"/>
      <c r="E95" s="7"/>
      <c r="F95" s="7"/>
      <c r="G95" s="7"/>
      <c r="H95" s="21"/>
      <c r="I95" s="21" t="str">
        <f>IF(A95="","",IFERROR(INDEX(可选_寄存器汇总!$B:$B,MATCH(A95,可选_寄存器汇总!$A:$A,0)),""))</f>
        <v/>
      </c>
      <c r="J95" s="21" t="str">
        <f t="shared" si="9"/>
        <v/>
      </c>
      <c r="K95" s="23" t="str">
        <f t="shared" si="10"/>
        <v/>
      </c>
      <c r="L95" s="24" t="str">
        <f t="shared" si="11"/>
        <v/>
      </c>
      <c r="M95" s="24" t="str">
        <f t="shared" si="12"/>
        <v/>
      </c>
      <c r="N95" s="24" t="str">
        <f t="shared" si="13"/>
        <v/>
      </c>
      <c r="O95" s="23" t="str">
        <f t="shared" si="14"/>
        <v/>
      </c>
      <c r="P95" s="23" t="str">
        <f t="shared" si="15"/>
        <v/>
      </c>
      <c r="Q95" s="26" t="str">
        <f t="shared" si="16"/>
        <v/>
      </c>
      <c r="R95" t="str">
        <f t="shared" si="17"/>
        <v/>
      </c>
    </row>
    <row r="96" spans="1:18">
      <c r="A96" s="6"/>
      <c r="B96" s="6"/>
      <c r="C96" s="6"/>
      <c r="D96" s="20"/>
      <c r="E96" s="7"/>
      <c r="F96" s="7"/>
      <c r="G96" s="7"/>
      <c r="H96" s="21"/>
      <c r="I96" s="21" t="str">
        <f>IF(A96="","",IFERROR(INDEX(可选_寄存器汇总!$B:$B,MATCH(A96,可选_寄存器汇总!$A:$A,0)),""))</f>
        <v/>
      </c>
      <c r="J96" s="21" t="str">
        <f t="shared" si="9"/>
        <v/>
      </c>
      <c r="K96" s="23" t="str">
        <f t="shared" si="10"/>
        <v/>
      </c>
      <c r="L96" s="24" t="str">
        <f t="shared" si="11"/>
        <v/>
      </c>
      <c r="M96" s="24" t="str">
        <f t="shared" si="12"/>
        <v/>
      </c>
      <c r="N96" s="24" t="str">
        <f t="shared" si="13"/>
        <v/>
      </c>
      <c r="O96" s="23" t="str">
        <f t="shared" si="14"/>
        <v/>
      </c>
      <c r="P96" s="23" t="str">
        <f t="shared" si="15"/>
        <v/>
      </c>
      <c r="Q96" s="26" t="str">
        <f t="shared" si="16"/>
        <v/>
      </c>
      <c r="R96" t="str">
        <f t="shared" si="17"/>
        <v/>
      </c>
    </row>
    <row r="97" spans="1:18">
      <c r="A97" s="6"/>
      <c r="B97" s="6"/>
      <c r="C97" s="6"/>
      <c r="D97" s="20"/>
      <c r="E97" s="7"/>
      <c r="F97" s="7"/>
      <c r="G97" s="7"/>
      <c r="H97" s="21"/>
      <c r="I97" s="21" t="str">
        <f>IF(A97="","",IFERROR(INDEX(可选_寄存器汇总!$B:$B,MATCH(A97,可选_寄存器汇总!$A:$A,0)),""))</f>
        <v/>
      </c>
      <c r="J97" s="21" t="str">
        <f t="shared" si="9"/>
        <v/>
      </c>
      <c r="K97" s="23" t="str">
        <f t="shared" si="10"/>
        <v/>
      </c>
      <c r="L97" s="24" t="str">
        <f t="shared" si="11"/>
        <v/>
      </c>
      <c r="M97" s="24" t="str">
        <f t="shared" si="12"/>
        <v/>
      </c>
      <c r="N97" s="24" t="str">
        <f t="shared" si="13"/>
        <v/>
      </c>
      <c r="O97" s="23" t="str">
        <f t="shared" si="14"/>
        <v/>
      </c>
      <c r="P97" s="23" t="str">
        <f t="shared" si="15"/>
        <v/>
      </c>
      <c r="Q97" s="26" t="str">
        <f t="shared" si="16"/>
        <v/>
      </c>
      <c r="R97" t="str">
        <f t="shared" si="17"/>
        <v/>
      </c>
    </row>
    <row r="98" spans="1:18">
      <c r="A98" s="6"/>
      <c r="B98" s="6"/>
      <c r="C98" s="6"/>
      <c r="D98" s="20"/>
      <c r="E98" s="7"/>
      <c r="F98" s="7"/>
      <c r="G98" s="7"/>
      <c r="H98" s="21"/>
      <c r="I98" s="21" t="str">
        <f>IF(A98="","",IFERROR(INDEX(可选_寄存器汇总!$B:$B,MATCH(A98,可选_寄存器汇总!$A:$A,0)),""))</f>
        <v/>
      </c>
      <c r="J98" s="21" t="str">
        <f t="shared" si="9"/>
        <v/>
      </c>
      <c r="K98" s="23" t="str">
        <f t="shared" si="10"/>
        <v/>
      </c>
      <c r="L98" s="24" t="str">
        <f t="shared" si="11"/>
        <v/>
      </c>
      <c r="M98" s="24" t="str">
        <f t="shared" si="12"/>
        <v/>
      </c>
      <c r="N98" s="24" t="str">
        <f t="shared" si="13"/>
        <v/>
      </c>
      <c r="O98" s="23" t="str">
        <f t="shared" si="14"/>
        <v/>
      </c>
      <c r="P98" s="23" t="str">
        <f t="shared" si="15"/>
        <v/>
      </c>
      <c r="Q98" s="26" t="str">
        <f t="shared" si="16"/>
        <v/>
      </c>
      <c r="R98" t="str">
        <f t="shared" si="17"/>
        <v/>
      </c>
    </row>
    <row r="99" spans="1:18">
      <c r="A99" s="6"/>
      <c r="B99" s="6"/>
      <c r="C99" s="6"/>
      <c r="D99" s="20"/>
      <c r="E99" s="7"/>
      <c r="F99" s="7"/>
      <c r="G99" s="7"/>
      <c r="H99" s="21"/>
      <c r="I99" s="21" t="str">
        <f>IF(A99="","",IFERROR(INDEX(可选_寄存器汇总!$B:$B,MATCH(A99,可选_寄存器汇总!$A:$A,0)),""))</f>
        <v/>
      </c>
      <c r="J99" s="21" t="str">
        <f t="shared" si="9"/>
        <v/>
      </c>
      <c r="K99" s="23" t="str">
        <f t="shared" si="10"/>
        <v/>
      </c>
      <c r="L99" s="24" t="str">
        <f t="shared" si="11"/>
        <v/>
      </c>
      <c r="M99" s="24" t="str">
        <f t="shared" si="12"/>
        <v/>
      </c>
      <c r="N99" s="24" t="str">
        <f t="shared" si="13"/>
        <v/>
      </c>
      <c r="O99" s="23" t="str">
        <f t="shared" si="14"/>
        <v/>
      </c>
      <c r="P99" s="23" t="str">
        <f t="shared" si="15"/>
        <v/>
      </c>
      <c r="Q99" s="26" t="str">
        <f t="shared" si="16"/>
        <v/>
      </c>
      <c r="R99" t="str">
        <f t="shared" si="17"/>
        <v/>
      </c>
    </row>
    <row r="100" spans="1:18">
      <c r="A100" s="6"/>
      <c r="B100" s="6"/>
      <c r="C100" s="6"/>
      <c r="D100" s="20"/>
      <c r="E100" s="7"/>
      <c r="F100" s="7"/>
      <c r="G100" s="7"/>
      <c r="H100" s="21"/>
      <c r="I100" s="21" t="str">
        <f>IF(A100="","",IFERROR(INDEX(可选_寄存器汇总!$B:$B,MATCH(A100,可选_寄存器汇总!$A:$A,0)),""))</f>
        <v/>
      </c>
      <c r="J100" s="21" t="str">
        <f t="shared" si="9"/>
        <v/>
      </c>
      <c r="K100" s="23" t="str">
        <f t="shared" si="10"/>
        <v/>
      </c>
      <c r="L100" s="24" t="str">
        <f t="shared" si="11"/>
        <v/>
      </c>
      <c r="M100" s="24" t="str">
        <f t="shared" si="12"/>
        <v/>
      </c>
      <c r="N100" s="24" t="str">
        <f t="shared" si="13"/>
        <v/>
      </c>
      <c r="O100" s="23" t="str">
        <f t="shared" si="14"/>
        <v/>
      </c>
      <c r="P100" s="23" t="str">
        <f t="shared" si="15"/>
        <v/>
      </c>
      <c r="Q100" s="26" t="str">
        <f t="shared" si="16"/>
        <v/>
      </c>
      <c r="R100" t="str">
        <f t="shared" si="17"/>
        <v/>
      </c>
    </row>
    <row r="101" spans="1:18">
      <c r="A101" s="6"/>
      <c r="B101" s="6"/>
      <c r="C101" s="6"/>
      <c r="D101" s="20"/>
      <c r="E101" s="7"/>
      <c r="F101" s="7"/>
      <c r="G101" s="7"/>
      <c r="H101" s="21"/>
      <c r="I101" s="21" t="str">
        <f>IF(A101="","",IFERROR(INDEX(可选_寄存器汇总!$B:$B,MATCH(A101,可选_寄存器汇总!$A:$A,0)),""))</f>
        <v/>
      </c>
      <c r="J101" s="21" t="str">
        <f t="shared" si="9"/>
        <v/>
      </c>
      <c r="K101" s="23" t="str">
        <f t="shared" si="10"/>
        <v/>
      </c>
      <c r="L101" s="24" t="str">
        <f t="shared" si="11"/>
        <v/>
      </c>
      <c r="M101" s="24" t="str">
        <f t="shared" si="12"/>
        <v/>
      </c>
      <c r="N101" s="24" t="str">
        <f t="shared" si="13"/>
        <v/>
      </c>
      <c r="O101" s="23" t="str">
        <f t="shared" si="14"/>
        <v/>
      </c>
      <c r="P101" s="23" t="str">
        <f t="shared" si="15"/>
        <v/>
      </c>
      <c r="Q101" s="26" t="str">
        <f t="shared" si="16"/>
        <v/>
      </c>
      <c r="R101" t="str">
        <f t="shared" si="17"/>
        <v/>
      </c>
    </row>
    <row r="102" spans="1:18">
      <c r="A102" s="6"/>
      <c r="B102" s="6"/>
      <c r="C102" s="6"/>
      <c r="D102" s="20"/>
      <c r="E102" s="7"/>
      <c r="F102" s="7"/>
      <c r="G102" s="7"/>
      <c r="H102" s="21"/>
      <c r="I102" s="21" t="str">
        <f>IF(A102="","",IFERROR(INDEX(可选_寄存器汇总!$B:$B,MATCH(A102,可选_寄存器汇总!$A:$A,0)),""))</f>
        <v/>
      </c>
      <c r="J102" s="21" t="str">
        <f t="shared" si="9"/>
        <v/>
      </c>
      <c r="K102" s="23" t="str">
        <f t="shared" si="10"/>
        <v/>
      </c>
      <c r="L102" s="24" t="str">
        <f t="shared" si="11"/>
        <v/>
      </c>
      <c r="M102" s="24" t="str">
        <f t="shared" si="12"/>
        <v/>
      </c>
      <c r="N102" s="24" t="str">
        <f t="shared" si="13"/>
        <v/>
      </c>
      <c r="O102" s="23" t="str">
        <f t="shared" si="14"/>
        <v/>
      </c>
      <c r="P102" s="23" t="str">
        <f t="shared" si="15"/>
        <v/>
      </c>
      <c r="Q102" s="26" t="str">
        <f t="shared" si="16"/>
        <v/>
      </c>
      <c r="R102" t="str">
        <f t="shared" si="17"/>
        <v/>
      </c>
    </row>
    <row r="103" spans="1:18">
      <c r="A103" s="6"/>
      <c r="B103" s="6"/>
      <c r="C103" s="6"/>
      <c r="D103" s="20"/>
      <c r="E103" s="7"/>
      <c r="F103" s="7"/>
      <c r="G103" s="7"/>
      <c r="H103" s="21"/>
      <c r="I103" s="21" t="str">
        <f>IF(A103="","",IFERROR(INDEX(可选_寄存器汇总!$B:$B,MATCH(A103,可选_寄存器汇总!$A:$A,0)),""))</f>
        <v/>
      </c>
      <c r="J103" s="21" t="str">
        <f t="shared" si="9"/>
        <v/>
      </c>
      <c r="K103" s="23" t="str">
        <f t="shared" si="10"/>
        <v/>
      </c>
      <c r="L103" s="24" t="str">
        <f t="shared" si="11"/>
        <v/>
      </c>
      <c r="M103" s="24" t="str">
        <f t="shared" si="12"/>
        <v/>
      </c>
      <c r="N103" s="24" t="str">
        <f t="shared" si="13"/>
        <v/>
      </c>
      <c r="O103" s="23" t="str">
        <f t="shared" si="14"/>
        <v/>
      </c>
      <c r="P103" s="23" t="str">
        <f t="shared" si="15"/>
        <v/>
      </c>
      <c r="Q103" s="26" t="str">
        <f t="shared" si="16"/>
        <v/>
      </c>
      <c r="R103" t="str">
        <f t="shared" si="17"/>
        <v/>
      </c>
    </row>
    <row r="104" spans="1:18">
      <c r="A104" s="6"/>
      <c r="B104" s="6"/>
      <c r="C104" s="6"/>
      <c r="D104" s="20"/>
      <c r="E104" s="7"/>
      <c r="F104" s="7"/>
      <c r="G104" s="7"/>
      <c r="H104" s="21"/>
      <c r="I104" s="21" t="str">
        <f>IF(A104="","",IFERROR(INDEX(可选_寄存器汇总!$B:$B,MATCH(A104,可选_寄存器汇总!$A:$A,0)),""))</f>
        <v/>
      </c>
      <c r="J104" s="21" t="str">
        <f t="shared" si="9"/>
        <v/>
      </c>
      <c r="K104" s="23" t="str">
        <f t="shared" si="10"/>
        <v/>
      </c>
      <c r="L104" s="24" t="str">
        <f t="shared" si="11"/>
        <v/>
      </c>
      <c r="M104" s="24" t="str">
        <f t="shared" si="12"/>
        <v/>
      </c>
      <c r="N104" s="24" t="str">
        <f t="shared" si="13"/>
        <v/>
      </c>
      <c r="O104" s="23" t="str">
        <f t="shared" si="14"/>
        <v/>
      </c>
      <c r="P104" s="23" t="str">
        <f t="shared" si="15"/>
        <v/>
      </c>
      <c r="Q104" s="26" t="str">
        <f t="shared" si="16"/>
        <v/>
      </c>
      <c r="R104" t="str">
        <f t="shared" si="17"/>
        <v/>
      </c>
    </row>
    <row r="105" spans="1:18">
      <c r="A105" s="6"/>
      <c r="B105" s="6"/>
      <c r="C105" s="6"/>
      <c r="D105" s="20"/>
      <c r="E105" s="7"/>
      <c r="F105" s="7"/>
      <c r="G105" s="7"/>
      <c r="H105" s="21"/>
      <c r="I105" s="21" t="str">
        <f>IF(A105="","",IFERROR(INDEX(可选_寄存器汇总!$B:$B,MATCH(A105,可选_寄存器汇总!$A:$A,0)),""))</f>
        <v/>
      </c>
      <c r="J105" s="21" t="str">
        <f t="shared" si="9"/>
        <v/>
      </c>
      <c r="K105" s="23" t="str">
        <f t="shared" si="10"/>
        <v/>
      </c>
      <c r="L105" s="24" t="str">
        <f t="shared" si="11"/>
        <v/>
      </c>
      <c r="M105" s="24" t="str">
        <f t="shared" si="12"/>
        <v/>
      </c>
      <c r="N105" s="24" t="str">
        <f t="shared" si="13"/>
        <v/>
      </c>
      <c r="O105" s="23" t="str">
        <f t="shared" si="14"/>
        <v/>
      </c>
      <c r="P105" s="23" t="str">
        <f t="shared" si="15"/>
        <v/>
      </c>
      <c r="Q105" s="26" t="str">
        <f t="shared" si="16"/>
        <v/>
      </c>
      <c r="R105" t="str">
        <f t="shared" si="17"/>
        <v/>
      </c>
    </row>
    <row r="106" spans="1:18">
      <c r="A106" s="6"/>
      <c r="B106" s="6"/>
      <c r="C106" s="6"/>
      <c r="D106" s="20"/>
      <c r="E106" s="7"/>
      <c r="F106" s="7"/>
      <c r="G106" s="7"/>
      <c r="H106" s="21"/>
      <c r="I106" s="21" t="str">
        <f>IF(A106="","",IFERROR(INDEX(可选_寄存器汇总!$B:$B,MATCH(A106,可选_寄存器汇总!$A:$A,0)),""))</f>
        <v/>
      </c>
      <c r="J106" s="21" t="str">
        <f t="shared" si="9"/>
        <v/>
      </c>
      <c r="K106" s="23" t="str">
        <f t="shared" si="10"/>
        <v/>
      </c>
      <c r="L106" s="24" t="str">
        <f t="shared" si="11"/>
        <v/>
      </c>
      <c r="M106" s="24" t="str">
        <f t="shared" si="12"/>
        <v/>
      </c>
      <c r="N106" s="24" t="str">
        <f t="shared" si="13"/>
        <v/>
      </c>
      <c r="O106" s="23" t="str">
        <f t="shared" si="14"/>
        <v/>
      </c>
      <c r="P106" s="23" t="str">
        <f t="shared" si="15"/>
        <v/>
      </c>
      <c r="Q106" s="26" t="str">
        <f t="shared" si="16"/>
        <v/>
      </c>
      <c r="R106" t="str">
        <f t="shared" si="17"/>
        <v/>
      </c>
    </row>
    <row r="107" spans="1:18">
      <c r="A107" s="6"/>
      <c r="B107" s="6"/>
      <c r="C107" s="6"/>
      <c r="D107" s="20"/>
      <c r="E107" s="7"/>
      <c r="F107" s="7"/>
      <c r="G107" s="7"/>
      <c r="H107" s="21"/>
      <c r="I107" s="21" t="str">
        <f>IF(A107="","",IFERROR(INDEX(可选_寄存器汇总!$B:$B,MATCH(A107,可选_寄存器汇总!$A:$A,0)),""))</f>
        <v/>
      </c>
      <c r="J107" s="21" t="str">
        <f t="shared" si="9"/>
        <v/>
      </c>
      <c r="K107" s="23" t="str">
        <f t="shared" si="10"/>
        <v/>
      </c>
      <c r="L107" s="24" t="str">
        <f t="shared" si="11"/>
        <v/>
      </c>
      <c r="M107" s="24" t="str">
        <f t="shared" si="12"/>
        <v/>
      </c>
      <c r="N107" s="24" t="str">
        <f t="shared" si="13"/>
        <v/>
      </c>
      <c r="O107" s="23" t="str">
        <f t="shared" si="14"/>
        <v/>
      </c>
      <c r="P107" s="23" t="str">
        <f t="shared" si="15"/>
        <v/>
      </c>
      <c r="Q107" s="26" t="str">
        <f t="shared" si="16"/>
        <v/>
      </c>
      <c r="R107" t="str">
        <f t="shared" si="17"/>
        <v/>
      </c>
    </row>
    <row r="108" spans="1:18">
      <c r="A108" s="6"/>
      <c r="B108" s="6"/>
      <c r="C108" s="6"/>
      <c r="D108" s="20"/>
      <c r="E108" s="7"/>
      <c r="F108" s="7"/>
      <c r="G108" s="7"/>
      <c r="H108" s="21"/>
      <c r="I108" s="21" t="str">
        <f>IF(A108="","",IFERROR(INDEX(可选_寄存器汇总!$B:$B,MATCH(A108,可选_寄存器汇总!$A:$A,0)),""))</f>
        <v/>
      </c>
      <c r="J108" s="21" t="str">
        <f t="shared" si="9"/>
        <v/>
      </c>
      <c r="K108" s="23" t="str">
        <f t="shared" si="10"/>
        <v/>
      </c>
      <c r="L108" s="24" t="str">
        <f t="shared" si="11"/>
        <v/>
      </c>
      <c r="M108" s="24" t="str">
        <f t="shared" si="12"/>
        <v/>
      </c>
      <c r="N108" s="24" t="str">
        <f t="shared" si="13"/>
        <v/>
      </c>
      <c r="O108" s="23" t="str">
        <f t="shared" si="14"/>
        <v/>
      </c>
      <c r="P108" s="23" t="str">
        <f t="shared" si="15"/>
        <v/>
      </c>
      <c r="Q108" s="26" t="str">
        <f t="shared" si="16"/>
        <v/>
      </c>
      <c r="R108" t="str">
        <f t="shared" si="17"/>
        <v/>
      </c>
    </row>
    <row r="109" spans="1:18">
      <c r="A109" s="6"/>
      <c r="B109" s="6"/>
      <c r="C109" s="6"/>
      <c r="D109" s="20"/>
      <c r="E109" s="7"/>
      <c r="F109" s="7"/>
      <c r="G109" s="7"/>
      <c r="H109" s="21"/>
      <c r="I109" s="21" t="str">
        <f>IF(A109="","",IFERROR(INDEX(可选_寄存器汇总!$B:$B,MATCH(A109,可选_寄存器汇总!$A:$A,0)),""))</f>
        <v/>
      </c>
      <c r="J109" s="21" t="str">
        <f t="shared" si="9"/>
        <v/>
      </c>
      <c r="K109" s="23" t="str">
        <f t="shared" si="10"/>
        <v/>
      </c>
      <c r="L109" s="24" t="str">
        <f t="shared" si="11"/>
        <v/>
      </c>
      <c r="M109" s="24" t="str">
        <f t="shared" si="12"/>
        <v/>
      </c>
      <c r="N109" s="24" t="str">
        <f t="shared" si="13"/>
        <v/>
      </c>
      <c r="O109" s="23" t="str">
        <f t="shared" si="14"/>
        <v/>
      </c>
      <c r="P109" s="23" t="str">
        <f t="shared" si="15"/>
        <v/>
      </c>
      <c r="Q109" s="26" t="str">
        <f t="shared" si="16"/>
        <v/>
      </c>
      <c r="R109" t="str">
        <f t="shared" si="17"/>
        <v/>
      </c>
    </row>
    <row r="110" spans="1:18">
      <c r="A110" s="6"/>
      <c r="B110" s="6"/>
      <c r="C110" s="6"/>
      <c r="D110" s="20"/>
      <c r="E110" s="7"/>
      <c r="F110" s="7"/>
      <c r="G110" s="7"/>
      <c r="H110" s="21"/>
      <c r="I110" s="21" t="str">
        <f>IF(A110="","",IFERROR(INDEX(可选_寄存器汇总!$B:$B,MATCH(A110,可选_寄存器汇总!$A:$A,0)),""))</f>
        <v/>
      </c>
      <c r="J110" s="21" t="str">
        <f t="shared" si="9"/>
        <v/>
      </c>
      <c r="K110" s="23" t="str">
        <f t="shared" si="10"/>
        <v/>
      </c>
      <c r="L110" s="24" t="str">
        <f t="shared" si="11"/>
        <v/>
      </c>
      <c r="M110" s="24" t="str">
        <f t="shared" si="12"/>
        <v/>
      </c>
      <c r="N110" s="24" t="str">
        <f t="shared" si="13"/>
        <v/>
      </c>
      <c r="O110" s="23" t="str">
        <f t="shared" si="14"/>
        <v/>
      </c>
      <c r="P110" s="23" t="str">
        <f t="shared" si="15"/>
        <v/>
      </c>
      <c r="Q110" s="26" t="str">
        <f t="shared" si="16"/>
        <v/>
      </c>
      <c r="R110" t="str">
        <f t="shared" si="17"/>
        <v/>
      </c>
    </row>
    <row r="111" spans="1:18">
      <c r="A111" s="6"/>
      <c r="B111" s="6"/>
      <c r="C111" s="6"/>
      <c r="D111" s="20"/>
      <c r="E111" s="7"/>
      <c r="F111" s="7"/>
      <c r="G111" s="7"/>
      <c r="H111" s="21"/>
      <c r="I111" s="21" t="str">
        <f>IF(A111="","",IFERROR(INDEX(可选_寄存器汇总!$B:$B,MATCH(A111,可选_寄存器汇总!$A:$A,0)),""))</f>
        <v/>
      </c>
      <c r="J111" s="21" t="str">
        <f t="shared" si="9"/>
        <v/>
      </c>
      <c r="K111" s="23" t="str">
        <f t="shared" si="10"/>
        <v/>
      </c>
      <c r="L111" s="24" t="str">
        <f t="shared" si="11"/>
        <v/>
      </c>
      <c r="M111" s="24" t="str">
        <f t="shared" si="12"/>
        <v/>
      </c>
      <c r="N111" s="24" t="str">
        <f t="shared" si="13"/>
        <v/>
      </c>
      <c r="O111" s="23" t="str">
        <f t="shared" si="14"/>
        <v/>
      </c>
      <c r="P111" s="23" t="str">
        <f t="shared" si="15"/>
        <v/>
      </c>
      <c r="Q111" s="26" t="str">
        <f t="shared" si="16"/>
        <v/>
      </c>
      <c r="R111" t="str">
        <f t="shared" si="17"/>
        <v/>
      </c>
    </row>
    <row r="112" spans="1:18">
      <c r="A112" s="6"/>
      <c r="B112" s="6"/>
      <c r="C112" s="6"/>
      <c r="D112" s="20"/>
      <c r="E112" s="7"/>
      <c r="F112" s="7"/>
      <c r="G112" s="7"/>
      <c r="H112" s="21"/>
      <c r="I112" s="21" t="str">
        <f>IF(A112="","",IFERROR(INDEX(可选_寄存器汇总!$B:$B,MATCH(A112,可选_寄存器汇总!$A:$A,0)),""))</f>
        <v/>
      </c>
      <c r="J112" s="21" t="str">
        <f t="shared" si="9"/>
        <v/>
      </c>
      <c r="K112" s="23" t="str">
        <f t="shared" si="10"/>
        <v/>
      </c>
      <c r="L112" s="24" t="str">
        <f t="shared" si="11"/>
        <v/>
      </c>
      <c r="M112" s="24" t="str">
        <f t="shared" si="12"/>
        <v/>
      </c>
      <c r="N112" s="24" t="str">
        <f t="shared" si="13"/>
        <v/>
      </c>
      <c r="O112" s="23" t="str">
        <f t="shared" si="14"/>
        <v/>
      </c>
      <c r="P112" s="23" t="str">
        <f t="shared" si="15"/>
        <v/>
      </c>
      <c r="Q112" s="26" t="str">
        <f t="shared" si="16"/>
        <v/>
      </c>
      <c r="R112" t="str">
        <f t="shared" si="17"/>
        <v/>
      </c>
    </row>
    <row r="113" spans="1:18">
      <c r="A113" s="6"/>
      <c r="B113" s="6"/>
      <c r="C113" s="6"/>
      <c r="D113" s="20"/>
      <c r="E113" s="7"/>
      <c r="F113" s="7"/>
      <c r="G113" s="7"/>
      <c r="H113" s="21"/>
      <c r="I113" s="21" t="str">
        <f>IF(A113="","",IFERROR(INDEX(可选_寄存器汇总!$B:$B,MATCH(A113,可选_寄存器汇总!$A:$A,0)),""))</f>
        <v/>
      </c>
      <c r="J113" s="21" t="str">
        <f t="shared" si="9"/>
        <v/>
      </c>
      <c r="K113" s="23" t="str">
        <f t="shared" si="10"/>
        <v/>
      </c>
      <c r="L113" s="24" t="str">
        <f t="shared" si="11"/>
        <v/>
      </c>
      <c r="M113" s="24" t="str">
        <f t="shared" si="12"/>
        <v/>
      </c>
      <c r="N113" s="24" t="str">
        <f t="shared" si="13"/>
        <v/>
      </c>
      <c r="O113" s="23" t="str">
        <f t="shared" si="14"/>
        <v/>
      </c>
      <c r="P113" s="23" t="str">
        <f t="shared" si="15"/>
        <v/>
      </c>
      <c r="Q113" s="26" t="str">
        <f t="shared" si="16"/>
        <v/>
      </c>
      <c r="R113" t="str">
        <f t="shared" si="17"/>
        <v/>
      </c>
    </row>
    <row r="114" spans="1:18">
      <c r="A114" s="6"/>
      <c r="B114" s="6"/>
      <c r="C114" s="6"/>
      <c r="D114" s="20"/>
      <c r="E114" s="7"/>
      <c r="F114" s="7"/>
      <c r="G114" s="7"/>
      <c r="H114" s="21"/>
      <c r="I114" s="21" t="str">
        <f>IF(A114="","",IFERROR(INDEX(可选_寄存器汇总!$B:$B,MATCH(A114,可选_寄存器汇总!$A:$A,0)),""))</f>
        <v/>
      </c>
      <c r="J114" s="21" t="str">
        <f t="shared" si="9"/>
        <v/>
      </c>
      <c r="K114" s="23" t="str">
        <f t="shared" si="10"/>
        <v/>
      </c>
      <c r="L114" s="24" t="str">
        <f t="shared" si="11"/>
        <v/>
      </c>
      <c r="M114" s="24" t="str">
        <f t="shared" si="12"/>
        <v/>
      </c>
      <c r="N114" s="24" t="str">
        <f t="shared" si="13"/>
        <v/>
      </c>
      <c r="O114" s="23" t="str">
        <f t="shared" si="14"/>
        <v/>
      </c>
      <c r="P114" s="23" t="str">
        <f t="shared" si="15"/>
        <v/>
      </c>
      <c r="Q114" s="26" t="str">
        <f t="shared" si="16"/>
        <v/>
      </c>
      <c r="R114" t="str">
        <f t="shared" si="17"/>
        <v/>
      </c>
    </row>
    <row r="115" spans="1:18">
      <c r="A115" s="6"/>
      <c r="B115" s="6"/>
      <c r="C115" s="6"/>
      <c r="D115" s="20"/>
      <c r="E115" s="7"/>
      <c r="F115" s="7"/>
      <c r="G115" s="7"/>
      <c r="H115" s="21"/>
      <c r="I115" s="21" t="str">
        <f>IF(A115="","",IFERROR(INDEX(可选_寄存器汇总!$B:$B,MATCH(A115,可选_寄存器汇总!$A:$A,0)),""))</f>
        <v/>
      </c>
      <c r="J115" s="21" t="str">
        <f t="shared" si="9"/>
        <v/>
      </c>
      <c r="K115" s="23" t="str">
        <f t="shared" si="10"/>
        <v/>
      </c>
      <c r="L115" s="24" t="str">
        <f t="shared" si="11"/>
        <v/>
      </c>
      <c r="M115" s="24" t="str">
        <f t="shared" si="12"/>
        <v/>
      </c>
      <c r="N115" s="24" t="str">
        <f t="shared" si="13"/>
        <v/>
      </c>
      <c r="O115" s="23" t="str">
        <f t="shared" si="14"/>
        <v/>
      </c>
      <c r="P115" s="23" t="str">
        <f t="shared" si="15"/>
        <v/>
      </c>
      <c r="Q115" s="26" t="str">
        <f t="shared" si="16"/>
        <v/>
      </c>
      <c r="R115" t="str">
        <f t="shared" si="17"/>
        <v/>
      </c>
    </row>
    <row r="116" spans="1:18">
      <c r="A116" s="6"/>
      <c r="B116" s="6"/>
      <c r="C116" s="6"/>
      <c r="D116" s="20"/>
      <c r="E116" s="7"/>
      <c r="F116" s="7"/>
      <c r="G116" s="7"/>
      <c r="H116" s="21"/>
      <c r="I116" s="21" t="str">
        <f>IF(A116="","",IFERROR(INDEX(可选_寄存器汇总!$B:$B,MATCH(A116,可选_寄存器汇总!$A:$A,0)),""))</f>
        <v/>
      </c>
      <c r="J116" s="21" t="str">
        <f t="shared" si="9"/>
        <v/>
      </c>
      <c r="K116" s="23" t="str">
        <f t="shared" si="10"/>
        <v/>
      </c>
      <c r="L116" s="24" t="str">
        <f t="shared" si="11"/>
        <v/>
      </c>
      <c r="M116" s="24" t="str">
        <f t="shared" si="12"/>
        <v/>
      </c>
      <c r="N116" s="24" t="str">
        <f t="shared" si="13"/>
        <v/>
      </c>
      <c r="O116" s="23" t="str">
        <f t="shared" si="14"/>
        <v/>
      </c>
      <c r="P116" s="23" t="str">
        <f t="shared" si="15"/>
        <v/>
      </c>
      <c r="Q116" s="26" t="str">
        <f t="shared" si="16"/>
        <v/>
      </c>
      <c r="R116" t="str">
        <f t="shared" si="17"/>
        <v/>
      </c>
    </row>
    <row r="117" spans="1:18">
      <c r="A117" s="6"/>
      <c r="B117" s="6"/>
      <c r="C117" s="6"/>
      <c r="D117" s="20"/>
      <c r="E117" s="7"/>
      <c r="F117" s="7"/>
      <c r="G117" s="7"/>
      <c r="H117" s="21"/>
      <c r="I117" s="21" t="str">
        <f>IF(A117="","",IFERROR(INDEX(可选_寄存器汇总!$B:$B,MATCH(A117,可选_寄存器汇总!$A:$A,0)),""))</f>
        <v/>
      </c>
      <c r="J117" s="21" t="str">
        <f t="shared" si="9"/>
        <v/>
      </c>
      <c r="K117" s="23" t="str">
        <f t="shared" si="10"/>
        <v/>
      </c>
      <c r="L117" s="24" t="str">
        <f t="shared" si="11"/>
        <v/>
      </c>
      <c r="M117" s="24" t="str">
        <f t="shared" si="12"/>
        <v/>
      </c>
      <c r="N117" s="24" t="str">
        <f t="shared" si="13"/>
        <v/>
      </c>
      <c r="O117" s="23" t="str">
        <f t="shared" si="14"/>
        <v/>
      </c>
      <c r="P117" s="23" t="str">
        <f t="shared" si="15"/>
        <v/>
      </c>
      <c r="Q117" s="26" t="str">
        <f t="shared" si="16"/>
        <v/>
      </c>
      <c r="R117" t="str">
        <f t="shared" si="17"/>
        <v/>
      </c>
    </row>
    <row r="118" spans="1:18">
      <c r="A118" s="6"/>
      <c r="B118" s="6"/>
      <c r="C118" s="6"/>
      <c r="D118" s="20"/>
      <c r="E118" s="7"/>
      <c r="F118" s="7"/>
      <c r="G118" s="7"/>
      <c r="H118" s="21"/>
      <c r="I118" s="21" t="str">
        <f>IF(A118="","",IFERROR(INDEX(可选_寄存器汇总!$B:$B,MATCH(A118,可选_寄存器汇总!$A:$A,0)),""))</f>
        <v/>
      </c>
      <c r="J118" s="21" t="str">
        <f t="shared" si="9"/>
        <v/>
      </c>
      <c r="K118" s="23" t="str">
        <f t="shared" si="10"/>
        <v/>
      </c>
      <c r="L118" s="24" t="str">
        <f t="shared" si="11"/>
        <v/>
      </c>
      <c r="M118" s="24" t="str">
        <f t="shared" si="12"/>
        <v/>
      </c>
      <c r="N118" s="24" t="str">
        <f t="shared" si="13"/>
        <v/>
      </c>
      <c r="O118" s="23" t="str">
        <f t="shared" si="14"/>
        <v/>
      </c>
      <c r="P118" s="23" t="str">
        <f t="shared" si="15"/>
        <v/>
      </c>
      <c r="Q118" s="26" t="str">
        <f t="shared" si="16"/>
        <v/>
      </c>
      <c r="R118" t="str">
        <f t="shared" si="17"/>
        <v/>
      </c>
    </row>
    <row r="119" spans="1:18">
      <c r="A119" s="6"/>
      <c r="B119" s="6"/>
      <c r="C119" s="6"/>
      <c r="D119" s="20"/>
      <c r="E119" s="7"/>
      <c r="F119" s="7"/>
      <c r="G119" s="7"/>
      <c r="H119" s="21"/>
      <c r="I119" s="21" t="str">
        <f>IF(A119="","",IFERROR(INDEX(可选_寄存器汇总!$B:$B,MATCH(A119,可选_寄存器汇总!$A:$A,0)),""))</f>
        <v/>
      </c>
      <c r="J119" s="21" t="str">
        <f t="shared" si="9"/>
        <v/>
      </c>
      <c r="K119" s="23" t="str">
        <f t="shared" si="10"/>
        <v/>
      </c>
      <c r="L119" s="24" t="str">
        <f t="shared" si="11"/>
        <v/>
      </c>
      <c r="M119" s="24" t="str">
        <f t="shared" si="12"/>
        <v/>
      </c>
      <c r="N119" s="24" t="str">
        <f t="shared" si="13"/>
        <v/>
      </c>
      <c r="O119" s="23" t="str">
        <f t="shared" si="14"/>
        <v/>
      </c>
      <c r="P119" s="23" t="str">
        <f t="shared" si="15"/>
        <v/>
      </c>
      <c r="Q119" s="26" t="str">
        <f t="shared" si="16"/>
        <v/>
      </c>
      <c r="R119" t="str">
        <f t="shared" si="17"/>
        <v/>
      </c>
    </row>
    <row r="120" spans="1:18">
      <c r="A120" s="6"/>
      <c r="B120" s="6"/>
      <c r="C120" s="6"/>
      <c r="D120" s="20"/>
      <c r="E120" s="7"/>
      <c r="F120" s="7"/>
      <c r="G120" s="7"/>
      <c r="H120" s="21"/>
      <c r="I120" s="21" t="str">
        <f>IF(A120="","",IFERROR(INDEX(可选_寄存器汇总!$B:$B,MATCH(A120,可选_寄存器汇总!$A:$A,0)),""))</f>
        <v/>
      </c>
      <c r="J120" s="21" t="str">
        <f t="shared" si="9"/>
        <v/>
      </c>
      <c r="K120" s="23" t="str">
        <f t="shared" si="10"/>
        <v/>
      </c>
      <c r="L120" s="24" t="str">
        <f t="shared" si="11"/>
        <v/>
      </c>
      <c r="M120" s="24" t="str">
        <f t="shared" si="12"/>
        <v/>
      </c>
      <c r="N120" s="24" t="str">
        <f t="shared" si="13"/>
        <v/>
      </c>
      <c r="O120" s="23" t="str">
        <f t="shared" si="14"/>
        <v/>
      </c>
      <c r="P120" s="23" t="str">
        <f t="shared" si="15"/>
        <v/>
      </c>
      <c r="Q120" s="26" t="str">
        <f t="shared" si="16"/>
        <v/>
      </c>
      <c r="R120" t="str">
        <f t="shared" si="17"/>
        <v/>
      </c>
    </row>
    <row r="121" spans="1:18">
      <c r="A121" s="6"/>
      <c r="B121" s="6"/>
      <c r="C121" s="6"/>
      <c r="D121" s="20"/>
      <c r="E121" s="7"/>
      <c r="F121" s="7"/>
      <c r="G121" s="7"/>
      <c r="H121" s="21"/>
      <c r="I121" s="21" t="str">
        <f>IF(A121="","",IFERROR(INDEX(可选_寄存器汇总!$B:$B,MATCH(A121,可选_寄存器汇总!$A:$A,0)),""))</f>
        <v/>
      </c>
      <c r="J121" s="21" t="str">
        <f t="shared" si="9"/>
        <v/>
      </c>
      <c r="K121" s="23" t="str">
        <f t="shared" si="10"/>
        <v/>
      </c>
      <c r="L121" s="24" t="str">
        <f t="shared" si="11"/>
        <v/>
      </c>
      <c r="M121" s="24" t="str">
        <f t="shared" si="12"/>
        <v/>
      </c>
      <c r="N121" s="24" t="str">
        <f t="shared" si="13"/>
        <v/>
      </c>
      <c r="O121" s="23" t="str">
        <f t="shared" si="14"/>
        <v/>
      </c>
      <c r="P121" s="23" t="str">
        <f t="shared" si="15"/>
        <v/>
      </c>
      <c r="Q121" s="26" t="str">
        <f t="shared" si="16"/>
        <v/>
      </c>
      <c r="R121" t="str">
        <f t="shared" si="17"/>
        <v/>
      </c>
    </row>
    <row r="122" spans="1:18">
      <c r="A122" s="6"/>
      <c r="B122" s="6"/>
      <c r="C122" s="6"/>
      <c r="D122" s="20"/>
      <c r="E122" s="7"/>
      <c r="F122" s="7"/>
      <c r="G122" s="7"/>
      <c r="H122" s="21"/>
      <c r="I122" s="21" t="str">
        <f>IF(A122="","",IFERROR(INDEX(可选_寄存器汇总!$B:$B,MATCH(A122,可选_寄存器汇总!$A:$A,0)),""))</f>
        <v/>
      </c>
      <c r="J122" s="21" t="str">
        <f t="shared" si="9"/>
        <v/>
      </c>
      <c r="K122" s="23" t="str">
        <f t="shared" si="10"/>
        <v/>
      </c>
      <c r="L122" s="24" t="str">
        <f t="shared" si="11"/>
        <v/>
      </c>
      <c r="M122" s="24" t="str">
        <f t="shared" si="12"/>
        <v/>
      </c>
      <c r="N122" s="24" t="str">
        <f t="shared" si="13"/>
        <v/>
      </c>
      <c r="O122" s="23" t="str">
        <f t="shared" si="14"/>
        <v/>
      </c>
      <c r="P122" s="23" t="str">
        <f t="shared" si="15"/>
        <v/>
      </c>
      <c r="Q122" s="26" t="str">
        <f t="shared" si="16"/>
        <v/>
      </c>
      <c r="R122" t="str">
        <f t="shared" si="17"/>
        <v/>
      </c>
    </row>
    <row r="123" spans="1:18">
      <c r="A123" s="6"/>
      <c r="B123" s="6"/>
      <c r="C123" s="6"/>
      <c r="D123" s="20"/>
      <c r="E123" s="7"/>
      <c r="F123" s="7"/>
      <c r="G123" s="7"/>
      <c r="H123" s="21"/>
      <c r="I123" s="21" t="str">
        <f>IF(A123="","",IFERROR(INDEX(可选_寄存器汇总!$B:$B,MATCH(A123,可选_寄存器汇总!$A:$A,0)),""))</f>
        <v/>
      </c>
      <c r="J123" s="21" t="str">
        <f t="shared" si="9"/>
        <v/>
      </c>
      <c r="K123" s="23" t="str">
        <f t="shared" si="10"/>
        <v/>
      </c>
      <c r="L123" s="24" t="str">
        <f t="shared" si="11"/>
        <v/>
      </c>
      <c r="M123" s="24" t="str">
        <f t="shared" si="12"/>
        <v/>
      </c>
      <c r="N123" s="24" t="str">
        <f t="shared" si="13"/>
        <v/>
      </c>
      <c r="O123" s="23" t="str">
        <f t="shared" si="14"/>
        <v/>
      </c>
      <c r="P123" s="23" t="str">
        <f t="shared" si="15"/>
        <v/>
      </c>
      <c r="Q123" s="26" t="str">
        <f t="shared" si="16"/>
        <v/>
      </c>
      <c r="R123" t="str">
        <f t="shared" si="17"/>
        <v/>
      </c>
    </row>
    <row r="124" spans="1:18">
      <c r="A124" s="6"/>
      <c r="B124" s="6"/>
      <c r="C124" s="6"/>
      <c r="D124" s="20"/>
      <c r="E124" s="7"/>
      <c r="F124" s="7"/>
      <c r="G124" s="7"/>
      <c r="H124" s="21"/>
      <c r="I124" s="21" t="str">
        <f>IF(A124="","",IFERROR(INDEX(可选_寄存器汇总!$B:$B,MATCH(A124,可选_寄存器汇总!$A:$A,0)),""))</f>
        <v/>
      </c>
      <c r="J124" s="21" t="str">
        <f t="shared" si="9"/>
        <v/>
      </c>
      <c r="K124" s="23" t="str">
        <f t="shared" si="10"/>
        <v/>
      </c>
      <c r="L124" s="24" t="str">
        <f t="shared" si="11"/>
        <v/>
      </c>
      <c r="M124" s="24" t="str">
        <f t="shared" si="12"/>
        <v/>
      </c>
      <c r="N124" s="24" t="str">
        <f t="shared" si="13"/>
        <v/>
      </c>
      <c r="O124" s="23" t="str">
        <f t="shared" si="14"/>
        <v/>
      </c>
      <c r="P124" s="23" t="str">
        <f t="shared" si="15"/>
        <v/>
      </c>
      <c r="Q124" s="26" t="str">
        <f t="shared" si="16"/>
        <v/>
      </c>
      <c r="R124" t="str">
        <f t="shared" si="17"/>
        <v/>
      </c>
    </row>
    <row r="125" spans="1:18">
      <c r="A125" s="6"/>
      <c r="B125" s="6"/>
      <c r="C125" s="6"/>
      <c r="D125" s="20"/>
      <c r="E125" s="7"/>
      <c r="F125" s="7"/>
      <c r="G125" s="7"/>
      <c r="H125" s="21"/>
      <c r="I125" s="21" t="str">
        <f>IF(A125="","",IFERROR(INDEX(可选_寄存器汇总!$B:$B,MATCH(A125,可选_寄存器汇总!$A:$A,0)),""))</f>
        <v/>
      </c>
      <c r="J125" s="21" t="str">
        <f t="shared" si="9"/>
        <v/>
      </c>
      <c r="K125" s="23" t="str">
        <f t="shared" si="10"/>
        <v/>
      </c>
      <c r="L125" s="24" t="str">
        <f t="shared" si="11"/>
        <v/>
      </c>
      <c r="M125" s="24" t="str">
        <f t="shared" si="12"/>
        <v/>
      </c>
      <c r="N125" s="24" t="str">
        <f t="shared" si="13"/>
        <v/>
      </c>
      <c r="O125" s="23" t="str">
        <f t="shared" si="14"/>
        <v/>
      </c>
      <c r="P125" s="23" t="str">
        <f t="shared" si="15"/>
        <v/>
      </c>
      <c r="Q125" s="26" t="str">
        <f t="shared" si="16"/>
        <v/>
      </c>
      <c r="R125" t="str">
        <f t="shared" si="17"/>
        <v/>
      </c>
    </row>
    <row r="126" spans="1:18">
      <c r="A126" s="6"/>
      <c r="B126" s="6"/>
      <c r="C126" s="6"/>
      <c r="D126" s="20"/>
      <c r="E126" s="7"/>
      <c r="F126" s="7"/>
      <c r="G126" s="7"/>
      <c r="H126" s="21"/>
      <c r="I126" s="21" t="str">
        <f>IF(A126="","",IFERROR(INDEX(可选_寄存器汇总!$B:$B,MATCH(A126,可选_寄存器汇总!$A:$A,0)),""))</f>
        <v/>
      </c>
      <c r="J126" s="21" t="str">
        <f t="shared" si="9"/>
        <v/>
      </c>
      <c r="K126" s="23" t="str">
        <f t="shared" si="10"/>
        <v/>
      </c>
      <c r="L126" s="24" t="str">
        <f t="shared" si="11"/>
        <v/>
      </c>
      <c r="M126" s="24" t="str">
        <f t="shared" si="12"/>
        <v/>
      </c>
      <c r="N126" s="24" t="str">
        <f t="shared" si="13"/>
        <v/>
      </c>
      <c r="O126" s="23" t="str">
        <f t="shared" si="14"/>
        <v/>
      </c>
      <c r="P126" s="23" t="str">
        <f t="shared" si="15"/>
        <v/>
      </c>
      <c r="Q126" s="26" t="str">
        <f t="shared" si="16"/>
        <v/>
      </c>
      <c r="R126" t="str">
        <f t="shared" si="17"/>
        <v/>
      </c>
    </row>
    <row r="127" spans="1:18">
      <c r="A127" s="6"/>
      <c r="B127" s="6"/>
      <c r="C127" s="6"/>
      <c r="D127" s="20"/>
      <c r="E127" s="7"/>
      <c r="F127" s="7"/>
      <c r="G127" s="7"/>
      <c r="H127" s="21"/>
      <c r="I127" s="21" t="str">
        <f>IF(A127="","",IFERROR(INDEX(可选_寄存器汇总!$B:$B,MATCH(A127,可选_寄存器汇总!$A:$A,0)),""))</f>
        <v/>
      </c>
      <c r="J127" s="21" t="str">
        <f t="shared" si="9"/>
        <v/>
      </c>
      <c r="K127" s="23" t="str">
        <f t="shared" si="10"/>
        <v/>
      </c>
      <c r="L127" s="24" t="str">
        <f t="shared" si="11"/>
        <v/>
      </c>
      <c r="M127" s="24" t="str">
        <f t="shared" si="12"/>
        <v/>
      </c>
      <c r="N127" s="24" t="str">
        <f t="shared" si="13"/>
        <v/>
      </c>
      <c r="O127" s="23" t="str">
        <f t="shared" si="14"/>
        <v/>
      </c>
      <c r="P127" s="23" t="str">
        <f t="shared" si="15"/>
        <v/>
      </c>
      <c r="Q127" s="26" t="str">
        <f t="shared" si="16"/>
        <v/>
      </c>
      <c r="R127" t="str">
        <f t="shared" si="17"/>
        <v/>
      </c>
    </row>
    <row r="128" spans="1:18">
      <c r="A128" s="6"/>
      <c r="B128" s="6"/>
      <c r="C128" s="6"/>
      <c r="D128" s="20"/>
      <c r="E128" s="7"/>
      <c r="F128" s="7"/>
      <c r="G128" s="7"/>
      <c r="H128" s="21"/>
      <c r="I128" s="21" t="str">
        <f>IF(A128="","",IFERROR(INDEX(可选_寄存器汇总!$B:$B,MATCH(A128,可选_寄存器汇总!$A:$A,0)),""))</f>
        <v/>
      </c>
      <c r="J128" s="21" t="str">
        <f t="shared" si="9"/>
        <v/>
      </c>
      <c r="K128" s="23" t="str">
        <f t="shared" si="10"/>
        <v/>
      </c>
      <c r="L128" s="24" t="str">
        <f t="shared" si="11"/>
        <v/>
      </c>
      <c r="M128" s="24" t="str">
        <f t="shared" si="12"/>
        <v/>
      </c>
      <c r="N128" s="24" t="str">
        <f t="shared" si="13"/>
        <v/>
      </c>
      <c r="O128" s="23" t="str">
        <f t="shared" si="14"/>
        <v/>
      </c>
      <c r="P128" s="23" t="str">
        <f t="shared" si="15"/>
        <v/>
      </c>
      <c r="Q128" s="26" t="str">
        <f t="shared" si="16"/>
        <v/>
      </c>
      <c r="R128" t="str">
        <f t="shared" si="17"/>
        <v/>
      </c>
    </row>
    <row r="129" spans="1:18">
      <c r="A129" s="6"/>
      <c r="B129" s="6"/>
      <c r="C129" s="6"/>
      <c r="D129" s="20"/>
      <c r="E129" s="7"/>
      <c r="F129" s="7"/>
      <c r="G129" s="7"/>
      <c r="H129" s="21"/>
      <c r="I129" s="21" t="str">
        <f>IF(A129="","",IFERROR(INDEX(可选_寄存器汇总!$B:$B,MATCH(A129,可选_寄存器汇总!$A:$A,0)),""))</f>
        <v/>
      </c>
      <c r="J129" s="21" t="str">
        <f t="shared" si="9"/>
        <v/>
      </c>
      <c r="K129" s="23" t="str">
        <f t="shared" si="10"/>
        <v/>
      </c>
      <c r="L129" s="24" t="str">
        <f t="shared" si="11"/>
        <v/>
      </c>
      <c r="M129" s="24" t="str">
        <f t="shared" si="12"/>
        <v/>
      </c>
      <c r="N129" s="24" t="str">
        <f t="shared" si="13"/>
        <v/>
      </c>
      <c r="O129" s="23" t="str">
        <f t="shared" si="14"/>
        <v/>
      </c>
      <c r="P129" s="23" t="str">
        <f t="shared" si="15"/>
        <v/>
      </c>
      <c r="Q129" s="26" t="str">
        <f t="shared" si="16"/>
        <v/>
      </c>
      <c r="R129" t="str">
        <f t="shared" si="17"/>
        <v/>
      </c>
    </row>
    <row r="130" spans="1:18">
      <c r="A130" s="6"/>
      <c r="B130" s="6"/>
      <c r="C130" s="6"/>
      <c r="D130" s="20"/>
      <c r="E130" s="7"/>
      <c r="F130" s="7"/>
      <c r="G130" s="7"/>
      <c r="H130" s="21"/>
      <c r="I130" s="21" t="str">
        <f>IF(A130="","",IFERROR(INDEX(可选_寄存器汇总!$B:$B,MATCH(A130,可选_寄存器汇总!$A:$A,0)),""))</f>
        <v/>
      </c>
      <c r="J130" s="21" t="str">
        <f t="shared" si="9"/>
        <v/>
      </c>
      <c r="K130" s="23" t="str">
        <f t="shared" si="10"/>
        <v/>
      </c>
      <c r="L130" s="24" t="str">
        <f t="shared" si="11"/>
        <v/>
      </c>
      <c r="M130" s="24" t="str">
        <f t="shared" si="12"/>
        <v/>
      </c>
      <c r="N130" s="24" t="str">
        <f t="shared" si="13"/>
        <v/>
      </c>
      <c r="O130" s="23" t="str">
        <f t="shared" si="14"/>
        <v/>
      </c>
      <c r="P130" s="23" t="str">
        <f t="shared" si="15"/>
        <v/>
      </c>
      <c r="Q130" s="26" t="str">
        <f t="shared" si="16"/>
        <v/>
      </c>
      <c r="R130" t="str">
        <f t="shared" si="17"/>
        <v/>
      </c>
    </row>
    <row r="131" spans="1:18">
      <c r="A131" s="6"/>
      <c r="B131" s="6"/>
      <c r="C131" s="6"/>
      <c r="D131" s="20"/>
      <c r="E131" s="7"/>
      <c r="F131" s="7"/>
      <c r="G131" s="7"/>
      <c r="H131" s="21"/>
      <c r="I131" s="21" t="str">
        <f>IF(A131="","",IFERROR(INDEX(可选_寄存器汇总!$B:$B,MATCH(A131,可选_寄存器汇总!$A:$A,0)),""))</f>
        <v/>
      </c>
      <c r="J131" s="21" t="str">
        <f t="shared" si="9"/>
        <v/>
      </c>
      <c r="K131" s="23" t="str">
        <f t="shared" si="10"/>
        <v/>
      </c>
      <c r="L131" s="24" t="str">
        <f t="shared" si="11"/>
        <v/>
      </c>
      <c r="M131" s="24" t="str">
        <f t="shared" si="12"/>
        <v/>
      </c>
      <c r="N131" s="24" t="str">
        <f t="shared" si="13"/>
        <v/>
      </c>
      <c r="O131" s="23" t="str">
        <f t="shared" si="14"/>
        <v/>
      </c>
      <c r="P131" s="23" t="str">
        <f t="shared" si="15"/>
        <v/>
      </c>
      <c r="Q131" s="26" t="str">
        <f t="shared" si="16"/>
        <v/>
      </c>
      <c r="R131" t="str">
        <f t="shared" si="17"/>
        <v/>
      </c>
    </row>
    <row r="132" spans="1:18">
      <c r="A132" s="6"/>
      <c r="B132" s="6"/>
      <c r="C132" s="6"/>
      <c r="D132" s="20"/>
      <c r="E132" s="7"/>
      <c r="F132" s="7"/>
      <c r="G132" s="7"/>
      <c r="H132" s="21"/>
      <c r="I132" s="21" t="str">
        <f>IF(A132="","",IFERROR(INDEX(可选_寄存器汇总!$B:$B,MATCH(A132,可选_寄存器汇总!$A:$A,0)),""))</f>
        <v/>
      </c>
      <c r="J132" s="21" t="str">
        <f t="shared" ref="J132:J195" si="18">IF(D132="","",IFERROR(IF(ISNUMBER(SEARCH(":",D132)),VALUE(LEFT(D132,FIND(":",D132)-1)),VALUE(D132)),""))</f>
        <v/>
      </c>
      <c r="K132" s="23" t="str">
        <f t="shared" ref="K132:K195" si="19">IF(D132="","",IFERROR(IF(ISNUMBER(SEARCH(":",D132)),VALUE(MID(D132,FIND(":",D132)+1,99)),VALUE(D132)),""))</f>
        <v/>
      </c>
      <c r="L132" s="24" t="str">
        <f t="shared" ref="L132:L195" si="20">IF(OR(J132="",K132=""),"",IF(J132=K132,"&lt;"&amp;J132&amp;"&gt;","&lt;"&amp;J132&amp;":"&amp;K132&amp;"&gt;"))</f>
        <v/>
      </c>
      <c r="M132" s="24" t="str">
        <f t="shared" ref="M132:M195" si="21">IF(OR(J132="",K132=""),"",J132-K132+1)</f>
        <v/>
      </c>
      <c r="N132" s="24" t="str">
        <f t="shared" ref="N132:N195" si="22">IF(OR(M132="",K132=""),"",((2^M132)-1)*(2^K132))</f>
        <v/>
      </c>
      <c r="O132" s="23" t="str">
        <f t="shared" ref="O132:O195" si="23">IF(M132="","",(2^M132)-1)</f>
        <v/>
      </c>
      <c r="P132" s="23" t="str">
        <f t="shared" ref="P132:P195" si="24">IF(OR(B132="",L132=""),"",B132&amp;L132)</f>
        <v/>
      </c>
      <c r="Q132" s="26" t="str">
        <f t="shared" ref="Q132:Q195" si="25">IF(I132="","","0x"&amp;MID("0123456789ABCDEF",INT(I132/16)+1,1)&amp;MID("0123456789ABCDEF",MOD(I132,16)+1,1))</f>
        <v/>
      </c>
      <c r="R132" t="str">
        <f t="shared" ref="R132:R195" si="26">IF(COUNTA(A132:H132)=0,"",IF(OR(A132="",B132="",D132="",E132=""),"缺必填项",IF(I132="","寄存器地址缺失",IF(OR(J132="",K132=""),"bit_spec格式错误",IF(J132&lt;K132,"msb&lt;lsb",IF(E132&gt;O132,"默认值超范围","OK"))))))</f>
        <v/>
      </c>
    </row>
    <row r="133" spans="1:18">
      <c r="A133" s="6"/>
      <c r="B133" s="6"/>
      <c r="C133" s="6"/>
      <c r="D133" s="20"/>
      <c r="E133" s="7"/>
      <c r="F133" s="7"/>
      <c r="G133" s="7"/>
      <c r="H133" s="21"/>
      <c r="I133" s="21" t="str">
        <f>IF(A133="","",IFERROR(INDEX(可选_寄存器汇总!$B:$B,MATCH(A133,可选_寄存器汇总!$A:$A,0)),""))</f>
        <v/>
      </c>
      <c r="J133" s="21" t="str">
        <f t="shared" si="18"/>
        <v/>
      </c>
      <c r="K133" s="23" t="str">
        <f t="shared" si="19"/>
        <v/>
      </c>
      <c r="L133" s="24" t="str">
        <f t="shared" si="20"/>
        <v/>
      </c>
      <c r="M133" s="24" t="str">
        <f t="shared" si="21"/>
        <v/>
      </c>
      <c r="N133" s="24" t="str">
        <f t="shared" si="22"/>
        <v/>
      </c>
      <c r="O133" s="23" t="str">
        <f t="shared" si="23"/>
        <v/>
      </c>
      <c r="P133" s="23" t="str">
        <f t="shared" si="24"/>
        <v/>
      </c>
      <c r="Q133" s="26" t="str">
        <f t="shared" si="25"/>
        <v/>
      </c>
      <c r="R133" t="str">
        <f t="shared" si="26"/>
        <v/>
      </c>
    </row>
    <row r="134" spans="1:18">
      <c r="A134" s="6"/>
      <c r="B134" s="6"/>
      <c r="C134" s="6"/>
      <c r="D134" s="20"/>
      <c r="E134" s="7"/>
      <c r="F134" s="7"/>
      <c r="G134" s="7"/>
      <c r="H134" s="21"/>
      <c r="I134" s="21" t="str">
        <f>IF(A134="","",IFERROR(INDEX(可选_寄存器汇总!$B:$B,MATCH(A134,可选_寄存器汇总!$A:$A,0)),""))</f>
        <v/>
      </c>
      <c r="J134" s="21" t="str">
        <f t="shared" si="18"/>
        <v/>
      </c>
      <c r="K134" s="23" t="str">
        <f t="shared" si="19"/>
        <v/>
      </c>
      <c r="L134" s="24" t="str">
        <f t="shared" si="20"/>
        <v/>
      </c>
      <c r="M134" s="24" t="str">
        <f t="shared" si="21"/>
        <v/>
      </c>
      <c r="N134" s="24" t="str">
        <f t="shared" si="22"/>
        <v/>
      </c>
      <c r="O134" s="23" t="str">
        <f t="shared" si="23"/>
        <v/>
      </c>
      <c r="P134" s="23" t="str">
        <f t="shared" si="24"/>
        <v/>
      </c>
      <c r="Q134" s="26" t="str">
        <f t="shared" si="25"/>
        <v/>
      </c>
      <c r="R134" t="str">
        <f t="shared" si="26"/>
        <v/>
      </c>
    </row>
    <row r="135" spans="1:18">
      <c r="A135" s="6"/>
      <c r="B135" s="6"/>
      <c r="C135" s="6"/>
      <c r="D135" s="20"/>
      <c r="E135" s="7"/>
      <c r="F135" s="7"/>
      <c r="G135" s="7"/>
      <c r="H135" s="21"/>
      <c r="I135" s="21" t="str">
        <f>IF(A135="","",IFERROR(INDEX(可选_寄存器汇总!$B:$B,MATCH(A135,可选_寄存器汇总!$A:$A,0)),""))</f>
        <v/>
      </c>
      <c r="J135" s="21" t="str">
        <f t="shared" si="18"/>
        <v/>
      </c>
      <c r="K135" s="23" t="str">
        <f t="shared" si="19"/>
        <v/>
      </c>
      <c r="L135" s="24" t="str">
        <f t="shared" si="20"/>
        <v/>
      </c>
      <c r="M135" s="24" t="str">
        <f t="shared" si="21"/>
        <v/>
      </c>
      <c r="N135" s="24" t="str">
        <f t="shared" si="22"/>
        <v/>
      </c>
      <c r="O135" s="23" t="str">
        <f t="shared" si="23"/>
        <v/>
      </c>
      <c r="P135" s="23" t="str">
        <f t="shared" si="24"/>
        <v/>
      </c>
      <c r="Q135" s="26" t="str">
        <f t="shared" si="25"/>
        <v/>
      </c>
      <c r="R135" t="str">
        <f t="shared" si="26"/>
        <v/>
      </c>
    </row>
    <row r="136" spans="1:18">
      <c r="A136" s="6"/>
      <c r="B136" s="6"/>
      <c r="C136" s="6"/>
      <c r="D136" s="20"/>
      <c r="E136" s="7"/>
      <c r="F136" s="7"/>
      <c r="G136" s="7"/>
      <c r="H136" s="21"/>
      <c r="I136" s="21" t="str">
        <f>IF(A136="","",IFERROR(INDEX(可选_寄存器汇总!$B:$B,MATCH(A136,可选_寄存器汇总!$A:$A,0)),""))</f>
        <v/>
      </c>
      <c r="J136" s="21" t="str">
        <f t="shared" si="18"/>
        <v/>
      </c>
      <c r="K136" s="23" t="str">
        <f t="shared" si="19"/>
        <v/>
      </c>
      <c r="L136" s="24" t="str">
        <f t="shared" si="20"/>
        <v/>
      </c>
      <c r="M136" s="24" t="str">
        <f t="shared" si="21"/>
        <v/>
      </c>
      <c r="N136" s="24" t="str">
        <f t="shared" si="22"/>
        <v/>
      </c>
      <c r="O136" s="23" t="str">
        <f t="shared" si="23"/>
        <v/>
      </c>
      <c r="P136" s="23" t="str">
        <f t="shared" si="24"/>
        <v/>
      </c>
      <c r="Q136" s="26" t="str">
        <f t="shared" si="25"/>
        <v/>
      </c>
      <c r="R136" t="str">
        <f t="shared" si="26"/>
        <v/>
      </c>
    </row>
    <row r="137" spans="1:18">
      <c r="A137" s="6"/>
      <c r="B137" s="6"/>
      <c r="C137" s="6"/>
      <c r="D137" s="20"/>
      <c r="E137" s="7"/>
      <c r="F137" s="7"/>
      <c r="G137" s="7"/>
      <c r="H137" s="21"/>
      <c r="I137" s="21" t="str">
        <f>IF(A137="","",IFERROR(INDEX(可选_寄存器汇总!$B:$B,MATCH(A137,可选_寄存器汇总!$A:$A,0)),""))</f>
        <v/>
      </c>
      <c r="J137" s="21" t="str">
        <f t="shared" si="18"/>
        <v/>
      </c>
      <c r="K137" s="23" t="str">
        <f t="shared" si="19"/>
        <v/>
      </c>
      <c r="L137" s="24" t="str">
        <f t="shared" si="20"/>
        <v/>
      </c>
      <c r="M137" s="24" t="str">
        <f t="shared" si="21"/>
        <v/>
      </c>
      <c r="N137" s="24" t="str">
        <f t="shared" si="22"/>
        <v/>
      </c>
      <c r="O137" s="23" t="str">
        <f t="shared" si="23"/>
        <v/>
      </c>
      <c r="P137" s="23" t="str">
        <f t="shared" si="24"/>
        <v/>
      </c>
      <c r="Q137" s="26" t="str">
        <f t="shared" si="25"/>
        <v/>
      </c>
      <c r="R137" t="str">
        <f t="shared" si="26"/>
        <v/>
      </c>
    </row>
    <row r="138" spans="1:18">
      <c r="A138" s="6"/>
      <c r="B138" s="6"/>
      <c r="C138" s="6"/>
      <c r="D138" s="20"/>
      <c r="E138" s="7"/>
      <c r="F138" s="7"/>
      <c r="G138" s="7"/>
      <c r="H138" s="21"/>
      <c r="I138" s="21" t="str">
        <f>IF(A138="","",IFERROR(INDEX(可选_寄存器汇总!$B:$B,MATCH(A138,可选_寄存器汇总!$A:$A,0)),""))</f>
        <v/>
      </c>
      <c r="J138" s="21" t="str">
        <f t="shared" si="18"/>
        <v/>
      </c>
      <c r="K138" s="23" t="str">
        <f t="shared" si="19"/>
        <v/>
      </c>
      <c r="L138" s="24" t="str">
        <f t="shared" si="20"/>
        <v/>
      </c>
      <c r="M138" s="24" t="str">
        <f t="shared" si="21"/>
        <v/>
      </c>
      <c r="N138" s="24" t="str">
        <f t="shared" si="22"/>
        <v/>
      </c>
      <c r="O138" s="23" t="str">
        <f t="shared" si="23"/>
        <v/>
      </c>
      <c r="P138" s="23" t="str">
        <f t="shared" si="24"/>
        <v/>
      </c>
      <c r="Q138" s="26" t="str">
        <f t="shared" si="25"/>
        <v/>
      </c>
      <c r="R138" t="str">
        <f t="shared" si="26"/>
        <v/>
      </c>
    </row>
    <row r="139" spans="1:18">
      <c r="A139" s="6"/>
      <c r="B139" s="6"/>
      <c r="C139" s="6"/>
      <c r="D139" s="20"/>
      <c r="E139" s="7"/>
      <c r="F139" s="7"/>
      <c r="G139" s="7"/>
      <c r="H139" s="21"/>
      <c r="I139" s="21" t="str">
        <f>IF(A139="","",IFERROR(INDEX(可选_寄存器汇总!$B:$B,MATCH(A139,可选_寄存器汇总!$A:$A,0)),""))</f>
        <v/>
      </c>
      <c r="J139" s="21" t="str">
        <f t="shared" si="18"/>
        <v/>
      </c>
      <c r="K139" s="23" t="str">
        <f t="shared" si="19"/>
        <v/>
      </c>
      <c r="L139" s="24" t="str">
        <f t="shared" si="20"/>
        <v/>
      </c>
      <c r="M139" s="24" t="str">
        <f t="shared" si="21"/>
        <v/>
      </c>
      <c r="N139" s="24" t="str">
        <f t="shared" si="22"/>
        <v/>
      </c>
      <c r="O139" s="23" t="str">
        <f t="shared" si="23"/>
        <v/>
      </c>
      <c r="P139" s="23" t="str">
        <f t="shared" si="24"/>
        <v/>
      </c>
      <c r="Q139" s="26" t="str">
        <f t="shared" si="25"/>
        <v/>
      </c>
      <c r="R139" t="str">
        <f t="shared" si="26"/>
        <v/>
      </c>
    </row>
    <row r="140" spans="1:18">
      <c r="A140" s="6"/>
      <c r="B140" s="6"/>
      <c r="C140" s="6"/>
      <c r="D140" s="20"/>
      <c r="E140" s="7"/>
      <c r="F140" s="7"/>
      <c r="G140" s="7"/>
      <c r="H140" s="21"/>
      <c r="I140" s="21" t="str">
        <f>IF(A140="","",IFERROR(INDEX(可选_寄存器汇总!$B:$B,MATCH(A140,可选_寄存器汇总!$A:$A,0)),""))</f>
        <v/>
      </c>
      <c r="J140" s="21" t="str">
        <f t="shared" si="18"/>
        <v/>
      </c>
      <c r="K140" s="23" t="str">
        <f t="shared" si="19"/>
        <v/>
      </c>
      <c r="L140" s="24" t="str">
        <f t="shared" si="20"/>
        <v/>
      </c>
      <c r="M140" s="24" t="str">
        <f t="shared" si="21"/>
        <v/>
      </c>
      <c r="N140" s="24" t="str">
        <f t="shared" si="22"/>
        <v/>
      </c>
      <c r="O140" s="23" t="str">
        <f t="shared" si="23"/>
        <v/>
      </c>
      <c r="P140" s="23" t="str">
        <f t="shared" si="24"/>
        <v/>
      </c>
      <c r="Q140" s="26" t="str">
        <f t="shared" si="25"/>
        <v/>
      </c>
      <c r="R140" t="str">
        <f t="shared" si="26"/>
        <v/>
      </c>
    </row>
    <row r="141" spans="1:18">
      <c r="A141" s="6"/>
      <c r="B141" s="6"/>
      <c r="C141" s="6"/>
      <c r="D141" s="20"/>
      <c r="E141" s="7"/>
      <c r="F141" s="7"/>
      <c r="G141" s="7"/>
      <c r="H141" s="21"/>
      <c r="I141" s="21" t="str">
        <f>IF(A141="","",IFERROR(INDEX(可选_寄存器汇总!$B:$B,MATCH(A141,可选_寄存器汇总!$A:$A,0)),""))</f>
        <v/>
      </c>
      <c r="J141" s="21" t="str">
        <f t="shared" si="18"/>
        <v/>
      </c>
      <c r="K141" s="23" t="str">
        <f t="shared" si="19"/>
        <v/>
      </c>
      <c r="L141" s="24" t="str">
        <f t="shared" si="20"/>
        <v/>
      </c>
      <c r="M141" s="24" t="str">
        <f t="shared" si="21"/>
        <v/>
      </c>
      <c r="N141" s="24" t="str">
        <f t="shared" si="22"/>
        <v/>
      </c>
      <c r="O141" s="23" t="str">
        <f t="shared" si="23"/>
        <v/>
      </c>
      <c r="P141" s="23" t="str">
        <f t="shared" si="24"/>
        <v/>
      </c>
      <c r="Q141" s="26" t="str">
        <f t="shared" si="25"/>
        <v/>
      </c>
      <c r="R141" t="str">
        <f t="shared" si="26"/>
        <v/>
      </c>
    </row>
    <row r="142" spans="1:18">
      <c r="A142" s="6"/>
      <c r="B142" s="6"/>
      <c r="C142" s="6"/>
      <c r="D142" s="20"/>
      <c r="E142" s="7"/>
      <c r="F142" s="7"/>
      <c r="G142" s="7"/>
      <c r="H142" s="21"/>
      <c r="I142" s="21" t="str">
        <f>IF(A142="","",IFERROR(INDEX(可选_寄存器汇总!$B:$B,MATCH(A142,可选_寄存器汇总!$A:$A,0)),""))</f>
        <v/>
      </c>
      <c r="J142" s="21" t="str">
        <f t="shared" si="18"/>
        <v/>
      </c>
      <c r="K142" s="23" t="str">
        <f t="shared" si="19"/>
        <v/>
      </c>
      <c r="L142" s="24" t="str">
        <f t="shared" si="20"/>
        <v/>
      </c>
      <c r="M142" s="24" t="str">
        <f t="shared" si="21"/>
        <v/>
      </c>
      <c r="N142" s="24" t="str">
        <f t="shared" si="22"/>
        <v/>
      </c>
      <c r="O142" s="23" t="str">
        <f t="shared" si="23"/>
        <v/>
      </c>
      <c r="P142" s="23" t="str">
        <f t="shared" si="24"/>
        <v/>
      </c>
      <c r="Q142" s="26" t="str">
        <f t="shared" si="25"/>
        <v/>
      </c>
      <c r="R142" t="str">
        <f t="shared" si="26"/>
        <v/>
      </c>
    </row>
    <row r="143" spans="1:18">
      <c r="A143" s="6"/>
      <c r="B143" s="6"/>
      <c r="C143" s="6"/>
      <c r="D143" s="20"/>
      <c r="E143" s="7"/>
      <c r="F143" s="7"/>
      <c r="G143" s="7"/>
      <c r="H143" s="21"/>
      <c r="I143" s="21" t="str">
        <f>IF(A143="","",IFERROR(INDEX(可选_寄存器汇总!$B:$B,MATCH(A143,可选_寄存器汇总!$A:$A,0)),""))</f>
        <v/>
      </c>
      <c r="J143" s="21" t="str">
        <f t="shared" si="18"/>
        <v/>
      </c>
      <c r="K143" s="23" t="str">
        <f t="shared" si="19"/>
        <v/>
      </c>
      <c r="L143" s="24" t="str">
        <f t="shared" si="20"/>
        <v/>
      </c>
      <c r="M143" s="24" t="str">
        <f t="shared" si="21"/>
        <v/>
      </c>
      <c r="N143" s="24" t="str">
        <f t="shared" si="22"/>
        <v/>
      </c>
      <c r="O143" s="23" t="str">
        <f t="shared" si="23"/>
        <v/>
      </c>
      <c r="P143" s="23" t="str">
        <f t="shared" si="24"/>
        <v/>
      </c>
      <c r="Q143" s="26" t="str">
        <f t="shared" si="25"/>
        <v/>
      </c>
      <c r="R143" t="str">
        <f t="shared" si="26"/>
        <v/>
      </c>
    </row>
    <row r="144" spans="1:18">
      <c r="A144" s="6"/>
      <c r="B144" s="6"/>
      <c r="C144" s="6"/>
      <c r="D144" s="20"/>
      <c r="E144" s="7"/>
      <c r="F144" s="7"/>
      <c r="G144" s="7"/>
      <c r="H144" s="21"/>
      <c r="I144" s="21" t="str">
        <f>IF(A144="","",IFERROR(INDEX(可选_寄存器汇总!$B:$B,MATCH(A144,可选_寄存器汇总!$A:$A,0)),""))</f>
        <v/>
      </c>
      <c r="J144" s="21" t="str">
        <f t="shared" si="18"/>
        <v/>
      </c>
      <c r="K144" s="23" t="str">
        <f t="shared" si="19"/>
        <v/>
      </c>
      <c r="L144" s="24" t="str">
        <f t="shared" si="20"/>
        <v/>
      </c>
      <c r="M144" s="24" t="str">
        <f t="shared" si="21"/>
        <v/>
      </c>
      <c r="N144" s="24" t="str">
        <f t="shared" si="22"/>
        <v/>
      </c>
      <c r="O144" s="23" t="str">
        <f t="shared" si="23"/>
        <v/>
      </c>
      <c r="P144" s="23" t="str">
        <f t="shared" si="24"/>
        <v/>
      </c>
      <c r="Q144" s="26" t="str">
        <f t="shared" si="25"/>
        <v/>
      </c>
      <c r="R144" t="str">
        <f t="shared" si="26"/>
        <v/>
      </c>
    </row>
    <row r="145" spans="1:18">
      <c r="A145" s="6"/>
      <c r="B145" s="6"/>
      <c r="C145" s="6"/>
      <c r="D145" s="20"/>
      <c r="E145" s="7"/>
      <c r="F145" s="7"/>
      <c r="G145" s="7"/>
      <c r="H145" s="21"/>
      <c r="I145" s="21" t="str">
        <f>IF(A145="","",IFERROR(INDEX(可选_寄存器汇总!$B:$B,MATCH(A145,可选_寄存器汇总!$A:$A,0)),""))</f>
        <v/>
      </c>
      <c r="J145" s="21" t="str">
        <f t="shared" si="18"/>
        <v/>
      </c>
      <c r="K145" s="23" t="str">
        <f t="shared" si="19"/>
        <v/>
      </c>
      <c r="L145" s="24" t="str">
        <f t="shared" si="20"/>
        <v/>
      </c>
      <c r="M145" s="24" t="str">
        <f t="shared" si="21"/>
        <v/>
      </c>
      <c r="N145" s="24" t="str">
        <f t="shared" si="22"/>
        <v/>
      </c>
      <c r="O145" s="23" t="str">
        <f t="shared" si="23"/>
        <v/>
      </c>
      <c r="P145" s="23" t="str">
        <f t="shared" si="24"/>
        <v/>
      </c>
      <c r="Q145" s="26" t="str">
        <f t="shared" si="25"/>
        <v/>
      </c>
      <c r="R145" t="str">
        <f t="shared" si="26"/>
        <v/>
      </c>
    </row>
    <row r="146" spans="1:18">
      <c r="A146" s="6"/>
      <c r="B146" s="6"/>
      <c r="C146" s="6"/>
      <c r="D146" s="20"/>
      <c r="E146" s="7"/>
      <c r="F146" s="7"/>
      <c r="G146" s="7"/>
      <c r="H146" s="21"/>
      <c r="I146" s="21" t="str">
        <f>IF(A146="","",IFERROR(INDEX(可选_寄存器汇总!$B:$B,MATCH(A146,可选_寄存器汇总!$A:$A,0)),""))</f>
        <v/>
      </c>
      <c r="J146" s="21" t="str">
        <f t="shared" si="18"/>
        <v/>
      </c>
      <c r="K146" s="23" t="str">
        <f t="shared" si="19"/>
        <v/>
      </c>
      <c r="L146" s="24" t="str">
        <f t="shared" si="20"/>
        <v/>
      </c>
      <c r="M146" s="24" t="str">
        <f t="shared" si="21"/>
        <v/>
      </c>
      <c r="N146" s="24" t="str">
        <f t="shared" si="22"/>
        <v/>
      </c>
      <c r="O146" s="23" t="str">
        <f t="shared" si="23"/>
        <v/>
      </c>
      <c r="P146" s="23" t="str">
        <f t="shared" si="24"/>
        <v/>
      </c>
      <c r="Q146" s="26" t="str">
        <f t="shared" si="25"/>
        <v/>
      </c>
      <c r="R146" t="str">
        <f t="shared" si="26"/>
        <v/>
      </c>
    </row>
    <row r="147" spans="1:18">
      <c r="A147" s="6"/>
      <c r="B147" s="6"/>
      <c r="C147" s="6"/>
      <c r="D147" s="20"/>
      <c r="E147" s="7"/>
      <c r="F147" s="7"/>
      <c r="G147" s="7"/>
      <c r="H147" s="21"/>
      <c r="I147" s="21" t="str">
        <f>IF(A147="","",IFERROR(INDEX(可选_寄存器汇总!$B:$B,MATCH(A147,可选_寄存器汇总!$A:$A,0)),""))</f>
        <v/>
      </c>
      <c r="J147" s="21" t="str">
        <f t="shared" si="18"/>
        <v/>
      </c>
      <c r="K147" s="23" t="str">
        <f t="shared" si="19"/>
        <v/>
      </c>
      <c r="L147" s="24" t="str">
        <f t="shared" si="20"/>
        <v/>
      </c>
      <c r="M147" s="24" t="str">
        <f t="shared" si="21"/>
        <v/>
      </c>
      <c r="N147" s="24" t="str">
        <f t="shared" si="22"/>
        <v/>
      </c>
      <c r="O147" s="23" t="str">
        <f t="shared" si="23"/>
        <v/>
      </c>
      <c r="P147" s="23" t="str">
        <f t="shared" si="24"/>
        <v/>
      </c>
      <c r="Q147" s="26" t="str">
        <f t="shared" si="25"/>
        <v/>
      </c>
      <c r="R147" t="str">
        <f t="shared" si="26"/>
        <v/>
      </c>
    </row>
    <row r="148" spans="1:18">
      <c r="A148" s="6"/>
      <c r="B148" s="6"/>
      <c r="C148" s="6"/>
      <c r="D148" s="20"/>
      <c r="E148" s="7"/>
      <c r="F148" s="7"/>
      <c r="G148" s="7"/>
      <c r="H148" s="21"/>
      <c r="I148" s="21" t="str">
        <f>IF(A148="","",IFERROR(INDEX(可选_寄存器汇总!$B:$B,MATCH(A148,可选_寄存器汇总!$A:$A,0)),""))</f>
        <v/>
      </c>
      <c r="J148" s="21" t="str">
        <f t="shared" si="18"/>
        <v/>
      </c>
      <c r="K148" s="23" t="str">
        <f t="shared" si="19"/>
        <v/>
      </c>
      <c r="L148" s="24" t="str">
        <f t="shared" si="20"/>
        <v/>
      </c>
      <c r="M148" s="24" t="str">
        <f t="shared" si="21"/>
        <v/>
      </c>
      <c r="N148" s="24" t="str">
        <f t="shared" si="22"/>
        <v/>
      </c>
      <c r="O148" s="23" t="str">
        <f t="shared" si="23"/>
        <v/>
      </c>
      <c r="P148" s="23" t="str">
        <f t="shared" si="24"/>
        <v/>
      </c>
      <c r="Q148" s="26" t="str">
        <f t="shared" si="25"/>
        <v/>
      </c>
      <c r="R148" t="str">
        <f t="shared" si="26"/>
        <v/>
      </c>
    </row>
    <row r="149" spans="1:18">
      <c r="A149" s="6"/>
      <c r="B149" s="6"/>
      <c r="C149" s="6"/>
      <c r="D149" s="20"/>
      <c r="E149" s="7"/>
      <c r="F149" s="7"/>
      <c r="G149" s="7"/>
      <c r="H149" s="21"/>
      <c r="I149" s="21" t="str">
        <f>IF(A149="","",IFERROR(INDEX(可选_寄存器汇总!$B:$B,MATCH(A149,可选_寄存器汇总!$A:$A,0)),""))</f>
        <v/>
      </c>
      <c r="J149" s="21" t="str">
        <f t="shared" si="18"/>
        <v/>
      </c>
      <c r="K149" s="23" t="str">
        <f t="shared" si="19"/>
        <v/>
      </c>
      <c r="L149" s="24" t="str">
        <f t="shared" si="20"/>
        <v/>
      </c>
      <c r="M149" s="24" t="str">
        <f t="shared" si="21"/>
        <v/>
      </c>
      <c r="N149" s="24" t="str">
        <f t="shared" si="22"/>
        <v/>
      </c>
      <c r="O149" s="23" t="str">
        <f t="shared" si="23"/>
        <v/>
      </c>
      <c r="P149" s="23" t="str">
        <f t="shared" si="24"/>
        <v/>
      </c>
      <c r="Q149" s="26" t="str">
        <f t="shared" si="25"/>
        <v/>
      </c>
      <c r="R149" t="str">
        <f t="shared" si="26"/>
        <v/>
      </c>
    </row>
    <row r="150" spans="1:18">
      <c r="A150" s="6"/>
      <c r="B150" s="6"/>
      <c r="C150" s="6"/>
      <c r="D150" s="20"/>
      <c r="E150" s="7"/>
      <c r="F150" s="7"/>
      <c r="G150" s="7"/>
      <c r="H150" s="21"/>
      <c r="I150" s="21" t="str">
        <f>IF(A150="","",IFERROR(INDEX(可选_寄存器汇总!$B:$B,MATCH(A150,可选_寄存器汇总!$A:$A,0)),""))</f>
        <v/>
      </c>
      <c r="J150" s="21" t="str">
        <f t="shared" si="18"/>
        <v/>
      </c>
      <c r="K150" s="23" t="str">
        <f t="shared" si="19"/>
        <v/>
      </c>
      <c r="L150" s="24" t="str">
        <f t="shared" si="20"/>
        <v/>
      </c>
      <c r="M150" s="24" t="str">
        <f t="shared" si="21"/>
        <v/>
      </c>
      <c r="N150" s="24" t="str">
        <f t="shared" si="22"/>
        <v/>
      </c>
      <c r="O150" s="23" t="str">
        <f t="shared" si="23"/>
        <v/>
      </c>
      <c r="P150" s="23" t="str">
        <f t="shared" si="24"/>
        <v/>
      </c>
      <c r="Q150" s="26" t="str">
        <f t="shared" si="25"/>
        <v/>
      </c>
      <c r="R150" t="str">
        <f t="shared" si="26"/>
        <v/>
      </c>
    </row>
    <row r="151" spans="1:18">
      <c r="A151" s="6"/>
      <c r="B151" s="6"/>
      <c r="C151" s="6"/>
      <c r="D151" s="20"/>
      <c r="E151" s="7"/>
      <c r="F151" s="7"/>
      <c r="G151" s="7"/>
      <c r="H151" s="21"/>
      <c r="I151" s="21" t="str">
        <f>IF(A151="","",IFERROR(INDEX(可选_寄存器汇总!$B:$B,MATCH(A151,可选_寄存器汇总!$A:$A,0)),""))</f>
        <v/>
      </c>
      <c r="J151" s="21" t="str">
        <f t="shared" si="18"/>
        <v/>
      </c>
      <c r="K151" s="23" t="str">
        <f t="shared" si="19"/>
        <v/>
      </c>
      <c r="L151" s="24" t="str">
        <f t="shared" si="20"/>
        <v/>
      </c>
      <c r="M151" s="24" t="str">
        <f t="shared" si="21"/>
        <v/>
      </c>
      <c r="N151" s="24" t="str">
        <f t="shared" si="22"/>
        <v/>
      </c>
      <c r="O151" s="23" t="str">
        <f t="shared" si="23"/>
        <v/>
      </c>
      <c r="P151" s="23" t="str">
        <f t="shared" si="24"/>
        <v/>
      </c>
      <c r="Q151" s="26" t="str">
        <f t="shared" si="25"/>
        <v/>
      </c>
      <c r="R151" t="str">
        <f t="shared" si="26"/>
        <v/>
      </c>
    </row>
    <row r="152" spans="1:18">
      <c r="A152" s="6"/>
      <c r="B152" s="6"/>
      <c r="C152" s="6"/>
      <c r="D152" s="20"/>
      <c r="E152" s="7"/>
      <c r="F152" s="7"/>
      <c r="G152" s="7"/>
      <c r="H152" s="21"/>
      <c r="I152" s="21" t="str">
        <f>IF(A152="","",IFERROR(INDEX(可选_寄存器汇总!$B:$B,MATCH(A152,可选_寄存器汇总!$A:$A,0)),""))</f>
        <v/>
      </c>
      <c r="J152" s="21" t="str">
        <f t="shared" si="18"/>
        <v/>
      </c>
      <c r="K152" s="23" t="str">
        <f t="shared" si="19"/>
        <v/>
      </c>
      <c r="L152" s="24" t="str">
        <f t="shared" si="20"/>
        <v/>
      </c>
      <c r="M152" s="24" t="str">
        <f t="shared" si="21"/>
        <v/>
      </c>
      <c r="N152" s="24" t="str">
        <f t="shared" si="22"/>
        <v/>
      </c>
      <c r="O152" s="23" t="str">
        <f t="shared" si="23"/>
        <v/>
      </c>
      <c r="P152" s="23" t="str">
        <f t="shared" si="24"/>
        <v/>
      </c>
      <c r="Q152" s="26" t="str">
        <f t="shared" si="25"/>
        <v/>
      </c>
      <c r="R152" t="str">
        <f t="shared" si="26"/>
        <v/>
      </c>
    </row>
    <row r="153" spans="1:18">
      <c r="A153" s="6"/>
      <c r="B153" s="6"/>
      <c r="C153" s="6"/>
      <c r="D153" s="20"/>
      <c r="E153" s="7"/>
      <c r="F153" s="7"/>
      <c r="G153" s="7"/>
      <c r="H153" s="21"/>
      <c r="I153" s="21" t="str">
        <f>IF(A153="","",IFERROR(INDEX(可选_寄存器汇总!$B:$B,MATCH(A153,可选_寄存器汇总!$A:$A,0)),""))</f>
        <v/>
      </c>
      <c r="J153" s="21" t="str">
        <f t="shared" si="18"/>
        <v/>
      </c>
      <c r="K153" s="23" t="str">
        <f t="shared" si="19"/>
        <v/>
      </c>
      <c r="L153" s="24" t="str">
        <f t="shared" si="20"/>
        <v/>
      </c>
      <c r="M153" s="24" t="str">
        <f t="shared" si="21"/>
        <v/>
      </c>
      <c r="N153" s="24" t="str">
        <f t="shared" si="22"/>
        <v/>
      </c>
      <c r="O153" s="23" t="str">
        <f t="shared" si="23"/>
        <v/>
      </c>
      <c r="P153" s="23" t="str">
        <f t="shared" si="24"/>
        <v/>
      </c>
      <c r="Q153" s="26" t="str">
        <f t="shared" si="25"/>
        <v/>
      </c>
      <c r="R153" t="str">
        <f t="shared" si="26"/>
        <v/>
      </c>
    </row>
    <row r="154" spans="1:18">
      <c r="A154" s="6"/>
      <c r="B154" s="6"/>
      <c r="C154" s="6"/>
      <c r="D154" s="20"/>
      <c r="E154" s="7"/>
      <c r="F154" s="7"/>
      <c r="G154" s="7"/>
      <c r="H154" s="21"/>
      <c r="I154" s="21" t="str">
        <f>IF(A154="","",IFERROR(INDEX(可选_寄存器汇总!$B:$B,MATCH(A154,可选_寄存器汇总!$A:$A,0)),""))</f>
        <v/>
      </c>
      <c r="J154" s="21" t="str">
        <f t="shared" si="18"/>
        <v/>
      </c>
      <c r="K154" s="23" t="str">
        <f t="shared" si="19"/>
        <v/>
      </c>
      <c r="L154" s="24" t="str">
        <f t="shared" si="20"/>
        <v/>
      </c>
      <c r="M154" s="24" t="str">
        <f t="shared" si="21"/>
        <v/>
      </c>
      <c r="N154" s="24" t="str">
        <f t="shared" si="22"/>
        <v/>
      </c>
      <c r="O154" s="23" t="str">
        <f t="shared" si="23"/>
        <v/>
      </c>
      <c r="P154" s="23" t="str">
        <f t="shared" si="24"/>
        <v/>
      </c>
      <c r="Q154" s="26" t="str">
        <f t="shared" si="25"/>
        <v/>
      </c>
      <c r="R154" t="str">
        <f t="shared" si="26"/>
        <v/>
      </c>
    </row>
    <row r="155" spans="1:18">
      <c r="A155" s="6"/>
      <c r="B155" s="6"/>
      <c r="C155" s="6"/>
      <c r="D155" s="20"/>
      <c r="E155" s="7"/>
      <c r="F155" s="7"/>
      <c r="G155" s="7"/>
      <c r="H155" s="21"/>
      <c r="I155" s="21" t="str">
        <f>IF(A155="","",IFERROR(INDEX(可选_寄存器汇总!$B:$B,MATCH(A155,可选_寄存器汇总!$A:$A,0)),""))</f>
        <v/>
      </c>
      <c r="J155" s="21" t="str">
        <f t="shared" si="18"/>
        <v/>
      </c>
      <c r="K155" s="23" t="str">
        <f t="shared" si="19"/>
        <v/>
      </c>
      <c r="L155" s="24" t="str">
        <f t="shared" si="20"/>
        <v/>
      </c>
      <c r="M155" s="24" t="str">
        <f t="shared" si="21"/>
        <v/>
      </c>
      <c r="N155" s="24" t="str">
        <f t="shared" si="22"/>
        <v/>
      </c>
      <c r="O155" s="23" t="str">
        <f t="shared" si="23"/>
        <v/>
      </c>
      <c r="P155" s="23" t="str">
        <f t="shared" si="24"/>
        <v/>
      </c>
      <c r="Q155" s="26" t="str">
        <f t="shared" si="25"/>
        <v/>
      </c>
      <c r="R155" t="str">
        <f t="shared" si="26"/>
        <v/>
      </c>
    </row>
    <row r="156" spans="1:18">
      <c r="A156" s="6"/>
      <c r="B156" s="6"/>
      <c r="C156" s="6"/>
      <c r="D156" s="20"/>
      <c r="E156" s="7"/>
      <c r="F156" s="7"/>
      <c r="G156" s="7"/>
      <c r="H156" s="21"/>
      <c r="I156" s="21" t="str">
        <f>IF(A156="","",IFERROR(INDEX(可选_寄存器汇总!$B:$B,MATCH(A156,可选_寄存器汇总!$A:$A,0)),""))</f>
        <v/>
      </c>
      <c r="J156" s="21" t="str">
        <f t="shared" si="18"/>
        <v/>
      </c>
      <c r="K156" s="23" t="str">
        <f t="shared" si="19"/>
        <v/>
      </c>
      <c r="L156" s="24" t="str">
        <f t="shared" si="20"/>
        <v/>
      </c>
      <c r="M156" s="24" t="str">
        <f t="shared" si="21"/>
        <v/>
      </c>
      <c r="N156" s="24" t="str">
        <f t="shared" si="22"/>
        <v/>
      </c>
      <c r="O156" s="23" t="str">
        <f t="shared" si="23"/>
        <v/>
      </c>
      <c r="P156" s="23" t="str">
        <f t="shared" si="24"/>
        <v/>
      </c>
      <c r="Q156" s="26" t="str">
        <f t="shared" si="25"/>
        <v/>
      </c>
      <c r="R156" t="str">
        <f t="shared" si="26"/>
        <v/>
      </c>
    </row>
    <row r="157" spans="1:18">
      <c r="A157" s="6"/>
      <c r="B157" s="6"/>
      <c r="C157" s="6"/>
      <c r="D157" s="20"/>
      <c r="E157" s="7"/>
      <c r="F157" s="7"/>
      <c r="G157" s="7"/>
      <c r="H157" s="21"/>
      <c r="I157" s="21" t="str">
        <f>IF(A157="","",IFERROR(INDEX(可选_寄存器汇总!$B:$B,MATCH(A157,可选_寄存器汇总!$A:$A,0)),""))</f>
        <v/>
      </c>
      <c r="J157" s="21" t="str">
        <f t="shared" si="18"/>
        <v/>
      </c>
      <c r="K157" s="23" t="str">
        <f t="shared" si="19"/>
        <v/>
      </c>
      <c r="L157" s="24" t="str">
        <f t="shared" si="20"/>
        <v/>
      </c>
      <c r="M157" s="24" t="str">
        <f t="shared" si="21"/>
        <v/>
      </c>
      <c r="N157" s="24" t="str">
        <f t="shared" si="22"/>
        <v/>
      </c>
      <c r="O157" s="23" t="str">
        <f t="shared" si="23"/>
        <v/>
      </c>
      <c r="P157" s="23" t="str">
        <f t="shared" si="24"/>
        <v/>
      </c>
      <c r="Q157" s="26" t="str">
        <f t="shared" si="25"/>
        <v/>
      </c>
      <c r="R157" t="str">
        <f t="shared" si="26"/>
        <v/>
      </c>
    </row>
    <row r="158" spans="1:18">
      <c r="A158" s="6"/>
      <c r="B158" s="6"/>
      <c r="C158" s="6"/>
      <c r="D158" s="20"/>
      <c r="E158" s="7"/>
      <c r="F158" s="7"/>
      <c r="G158" s="7"/>
      <c r="H158" s="21"/>
      <c r="I158" s="21" t="str">
        <f>IF(A158="","",IFERROR(INDEX(可选_寄存器汇总!$B:$B,MATCH(A158,可选_寄存器汇总!$A:$A,0)),""))</f>
        <v/>
      </c>
      <c r="J158" s="21" t="str">
        <f t="shared" si="18"/>
        <v/>
      </c>
      <c r="K158" s="23" t="str">
        <f t="shared" si="19"/>
        <v/>
      </c>
      <c r="L158" s="24" t="str">
        <f t="shared" si="20"/>
        <v/>
      </c>
      <c r="M158" s="24" t="str">
        <f t="shared" si="21"/>
        <v/>
      </c>
      <c r="N158" s="24" t="str">
        <f t="shared" si="22"/>
        <v/>
      </c>
      <c r="O158" s="23" t="str">
        <f t="shared" si="23"/>
        <v/>
      </c>
      <c r="P158" s="23" t="str">
        <f t="shared" si="24"/>
        <v/>
      </c>
      <c r="Q158" s="26" t="str">
        <f t="shared" si="25"/>
        <v/>
      </c>
      <c r="R158" t="str">
        <f t="shared" si="26"/>
        <v/>
      </c>
    </row>
    <row r="159" spans="1:18">
      <c r="A159" s="6"/>
      <c r="B159" s="6"/>
      <c r="C159" s="6"/>
      <c r="D159" s="20"/>
      <c r="E159" s="7"/>
      <c r="F159" s="7"/>
      <c r="G159" s="7"/>
      <c r="H159" s="21"/>
      <c r="I159" s="21" t="str">
        <f>IF(A159="","",IFERROR(INDEX(可选_寄存器汇总!$B:$B,MATCH(A159,可选_寄存器汇总!$A:$A,0)),""))</f>
        <v/>
      </c>
      <c r="J159" s="21" t="str">
        <f t="shared" si="18"/>
        <v/>
      </c>
      <c r="K159" s="23" t="str">
        <f t="shared" si="19"/>
        <v/>
      </c>
      <c r="L159" s="24" t="str">
        <f t="shared" si="20"/>
        <v/>
      </c>
      <c r="M159" s="24" t="str">
        <f t="shared" si="21"/>
        <v/>
      </c>
      <c r="N159" s="24" t="str">
        <f t="shared" si="22"/>
        <v/>
      </c>
      <c r="O159" s="23" t="str">
        <f t="shared" si="23"/>
        <v/>
      </c>
      <c r="P159" s="23" t="str">
        <f t="shared" si="24"/>
        <v/>
      </c>
      <c r="Q159" s="26" t="str">
        <f t="shared" si="25"/>
        <v/>
      </c>
      <c r="R159" t="str">
        <f t="shared" si="26"/>
        <v/>
      </c>
    </row>
    <row r="160" spans="1:18">
      <c r="A160" s="6"/>
      <c r="B160" s="6"/>
      <c r="C160" s="6"/>
      <c r="D160" s="20"/>
      <c r="E160" s="7"/>
      <c r="F160" s="7"/>
      <c r="G160" s="7"/>
      <c r="H160" s="21"/>
      <c r="I160" s="21" t="str">
        <f>IF(A160="","",IFERROR(INDEX(可选_寄存器汇总!$B:$B,MATCH(A160,可选_寄存器汇总!$A:$A,0)),""))</f>
        <v/>
      </c>
      <c r="J160" s="21" t="str">
        <f t="shared" si="18"/>
        <v/>
      </c>
      <c r="K160" s="23" t="str">
        <f t="shared" si="19"/>
        <v/>
      </c>
      <c r="L160" s="24" t="str">
        <f t="shared" si="20"/>
        <v/>
      </c>
      <c r="M160" s="24" t="str">
        <f t="shared" si="21"/>
        <v/>
      </c>
      <c r="N160" s="24" t="str">
        <f t="shared" si="22"/>
        <v/>
      </c>
      <c r="O160" s="23" t="str">
        <f t="shared" si="23"/>
        <v/>
      </c>
      <c r="P160" s="23" t="str">
        <f t="shared" si="24"/>
        <v/>
      </c>
      <c r="Q160" s="26" t="str">
        <f t="shared" si="25"/>
        <v/>
      </c>
      <c r="R160" t="str">
        <f t="shared" si="26"/>
        <v/>
      </c>
    </row>
    <row r="161" spans="1:18">
      <c r="A161" s="6"/>
      <c r="B161" s="6"/>
      <c r="C161" s="6"/>
      <c r="D161" s="20"/>
      <c r="E161" s="7"/>
      <c r="F161" s="7"/>
      <c r="G161" s="7"/>
      <c r="H161" s="21"/>
      <c r="I161" s="21" t="str">
        <f>IF(A161="","",IFERROR(INDEX(可选_寄存器汇总!$B:$B,MATCH(A161,可选_寄存器汇总!$A:$A,0)),""))</f>
        <v/>
      </c>
      <c r="J161" s="21" t="str">
        <f t="shared" si="18"/>
        <v/>
      </c>
      <c r="K161" s="23" t="str">
        <f t="shared" si="19"/>
        <v/>
      </c>
      <c r="L161" s="24" t="str">
        <f t="shared" si="20"/>
        <v/>
      </c>
      <c r="M161" s="24" t="str">
        <f t="shared" si="21"/>
        <v/>
      </c>
      <c r="N161" s="24" t="str">
        <f t="shared" si="22"/>
        <v/>
      </c>
      <c r="O161" s="23" t="str">
        <f t="shared" si="23"/>
        <v/>
      </c>
      <c r="P161" s="23" t="str">
        <f t="shared" si="24"/>
        <v/>
      </c>
      <c r="Q161" s="26" t="str">
        <f t="shared" si="25"/>
        <v/>
      </c>
      <c r="R161" t="str">
        <f t="shared" si="26"/>
        <v/>
      </c>
    </row>
    <row r="162" spans="1:18">
      <c r="A162" s="6"/>
      <c r="B162" s="6"/>
      <c r="C162" s="6"/>
      <c r="D162" s="20"/>
      <c r="E162" s="7"/>
      <c r="F162" s="7"/>
      <c r="G162" s="7"/>
      <c r="H162" s="21"/>
      <c r="I162" s="21" t="str">
        <f>IF(A162="","",IFERROR(INDEX(可选_寄存器汇总!$B:$B,MATCH(A162,可选_寄存器汇总!$A:$A,0)),""))</f>
        <v/>
      </c>
      <c r="J162" s="21" t="str">
        <f t="shared" si="18"/>
        <v/>
      </c>
      <c r="K162" s="23" t="str">
        <f t="shared" si="19"/>
        <v/>
      </c>
      <c r="L162" s="24" t="str">
        <f t="shared" si="20"/>
        <v/>
      </c>
      <c r="M162" s="24" t="str">
        <f t="shared" si="21"/>
        <v/>
      </c>
      <c r="N162" s="24" t="str">
        <f t="shared" si="22"/>
        <v/>
      </c>
      <c r="O162" s="23" t="str">
        <f t="shared" si="23"/>
        <v/>
      </c>
      <c r="P162" s="23" t="str">
        <f t="shared" si="24"/>
        <v/>
      </c>
      <c r="Q162" s="26" t="str">
        <f t="shared" si="25"/>
        <v/>
      </c>
      <c r="R162" t="str">
        <f t="shared" si="26"/>
        <v/>
      </c>
    </row>
    <row r="163" spans="1:18">
      <c r="A163" s="6"/>
      <c r="B163" s="6"/>
      <c r="C163" s="6"/>
      <c r="D163" s="20"/>
      <c r="E163" s="7"/>
      <c r="F163" s="7"/>
      <c r="G163" s="7"/>
      <c r="H163" s="21"/>
      <c r="I163" s="21" t="str">
        <f>IF(A163="","",IFERROR(INDEX(可选_寄存器汇总!$B:$B,MATCH(A163,可选_寄存器汇总!$A:$A,0)),""))</f>
        <v/>
      </c>
      <c r="J163" s="21" t="str">
        <f t="shared" si="18"/>
        <v/>
      </c>
      <c r="K163" s="23" t="str">
        <f t="shared" si="19"/>
        <v/>
      </c>
      <c r="L163" s="24" t="str">
        <f t="shared" si="20"/>
        <v/>
      </c>
      <c r="M163" s="24" t="str">
        <f t="shared" si="21"/>
        <v/>
      </c>
      <c r="N163" s="24" t="str">
        <f t="shared" si="22"/>
        <v/>
      </c>
      <c r="O163" s="23" t="str">
        <f t="shared" si="23"/>
        <v/>
      </c>
      <c r="P163" s="23" t="str">
        <f t="shared" si="24"/>
        <v/>
      </c>
      <c r="Q163" s="26" t="str">
        <f t="shared" si="25"/>
        <v/>
      </c>
      <c r="R163" t="str">
        <f t="shared" si="26"/>
        <v/>
      </c>
    </row>
    <row r="164" spans="1:18">
      <c r="A164" s="6"/>
      <c r="B164" s="6"/>
      <c r="C164" s="6"/>
      <c r="D164" s="20"/>
      <c r="E164" s="7"/>
      <c r="F164" s="7"/>
      <c r="G164" s="7"/>
      <c r="H164" s="21"/>
      <c r="I164" s="21" t="str">
        <f>IF(A164="","",IFERROR(INDEX(可选_寄存器汇总!$B:$B,MATCH(A164,可选_寄存器汇总!$A:$A,0)),""))</f>
        <v/>
      </c>
      <c r="J164" s="21" t="str">
        <f t="shared" si="18"/>
        <v/>
      </c>
      <c r="K164" s="23" t="str">
        <f t="shared" si="19"/>
        <v/>
      </c>
      <c r="L164" s="24" t="str">
        <f t="shared" si="20"/>
        <v/>
      </c>
      <c r="M164" s="24" t="str">
        <f t="shared" si="21"/>
        <v/>
      </c>
      <c r="N164" s="24" t="str">
        <f t="shared" si="22"/>
        <v/>
      </c>
      <c r="O164" s="23" t="str">
        <f t="shared" si="23"/>
        <v/>
      </c>
      <c r="P164" s="23" t="str">
        <f t="shared" si="24"/>
        <v/>
      </c>
      <c r="Q164" s="26" t="str">
        <f t="shared" si="25"/>
        <v/>
      </c>
      <c r="R164" t="str">
        <f t="shared" si="26"/>
        <v/>
      </c>
    </row>
    <row r="165" spans="1:18">
      <c r="A165" s="6"/>
      <c r="B165" s="6"/>
      <c r="C165" s="6"/>
      <c r="D165" s="20"/>
      <c r="E165" s="7"/>
      <c r="F165" s="7"/>
      <c r="G165" s="7"/>
      <c r="H165" s="21"/>
      <c r="I165" s="21" t="str">
        <f>IF(A165="","",IFERROR(INDEX(可选_寄存器汇总!$B:$B,MATCH(A165,可选_寄存器汇总!$A:$A,0)),""))</f>
        <v/>
      </c>
      <c r="J165" s="21" t="str">
        <f t="shared" si="18"/>
        <v/>
      </c>
      <c r="K165" s="23" t="str">
        <f t="shared" si="19"/>
        <v/>
      </c>
      <c r="L165" s="24" t="str">
        <f t="shared" si="20"/>
        <v/>
      </c>
      <c r="M165" s="24" t="str">
        <f t="shared" si="21"/>
        <v/>
      </c>
      <c r="N165" s="24" t="str">
        <f t="shared" si="22"/>
        <v/>
      </c>
      <c r="O165" s="23" t="str">
        <f t="shared" si="23"/>
        <v/>
      </c>
      <c r="P165" s="23" t="str">
        <f t="shared" si="24"/>
        <v/>
      </c>
      <c r="Q165" s="26" t="str">
        <f t="shared" si="25"/>
        <v/>
      </c>
      <c r="R165" t="str">
        <f t="shared" si="26"/>
        <v/>
      </c>
    </row>
    <row r="166" spans="1:18">
      <c r="A166" s="6"/>
      <c r="B166" s="6"/>
      <c r="C166" s="6"/>
      <c r="D166" s="20"/>
      <c r="E166" s="7"/>
      <c r="F166" s="7"/>
      <c r="G166" s="7"/>
      <c r="H166" s="21"/>
      <c r="I166" s="21" t="str">
        <f>IF(A166="","",IFERROR(INDEX(可选_寄存器汇总!$B:$B,MATCH(A166,可选_寄存器汇总!$A:$A,0)),""))</f>
        <v/>
      </c>
      <c r="J166" s="21" t="str">
        <f t="shared" si="18"/>
        <v/>
      </c>
      <c r="K166" s="23" t="str">
        <f t="shared" si="19"/>
        <v/>
      </c>
      <c r="L166" s="24" t="str">
        <f t="shared" si="20"/>
        <v/>
      </c>
      <c r="M166" s="24" t="str">
        <f t="shared" si="21"/>
        <v/>
      </c>
      <c r="N166" s="24" t="str">
        <f t="shared" si="22"/>
        <v/>
      </c>
      <c r="O166" s="23" t="str">
        <f t="shared" si="23"/>
        <v/>
      </c>
      <c r="P166" s="23" t="str">
        <f t="shared" si="24"/>
        <v/>
      </c>
      <c r="Q166" s="26" t="str">
        <f t="shared" si="25"/>
        <v/>
      </c>
      <c r="R166" t="str">
        <f t="shared" si="26"/>
        <v/>
      </c>
    </row>
    <row r="167" spans="1:18">
      <c r="A167" s="6"/>
      <c r="B167" s="6"/>
      <c r="C167" s="6"/>
      <c r="D167" s="20"/>
      <c r="E167" s="7"/>
      <c r="F167" s="7"/>
      <c r="G167" s="7"/>
      <c r="H167" s="21"/>
      <c r="I167" s="21" t="str">
        <f>IF(A167="","",IFERROR(INDEX(可选_寄存器汇总!$B:$B,MATCH(A167,可选_寄存器汇总!$A:$A,0)),""))</f>
        <v/>
      </c>
      <c r="J167" s="21" t="str">
        <f t="shared" si="18"/>
        <v/>
      </c>
      <c r="K167" s="23" t="str">
        <f t="shared" si="19"/>
        <v/>
      </c>
      <c r="L167" s="24" t="str">
        <f t="shared" si="20"/>
        <v/>
      </c>
      <c r="M167" s="24" t="str">
        <f t="shared" si="21"/>
        <v/>
      </c>
      <c r="N167" s="24" t="str">
        <f t="shared" si="22"/>
        <v/>
      </c>
      <c r="O167" s="23" t="str">
        <f t="shared" si="23"/>
        <v/>
      </c>
      <c r="P167" s="23" t="str">
        <f t="shared" si="24"/>
        <v/>
      </c>
      <c r="Q167" s="26" t="str">
        <f t="shared" si="25"/>
        <v/>
      </c>
      <c r="R167" t="str">
        <f t="shared" si="26"/>
        <v/>
      </c>
    </row>
    <row r="168" spans="1:18">
      <c r="A168" s="6"/>
      <c r="B168" s="6"/>
      <c r="C168" s="6"/>
      <c r="D168" s="20"/>
      <c r="E168" s="7"/>
      <c r="F168" s="7"/>
      <c r="G168" s="7"/>
      <c r="H168" s="21"/>
      <c r="I168" s="21" t="str">
        <f>IF(A168="","",IFERROR(INDEX(可选_寄存器汇总!$B:$B,MATCH(A168,可选_寄存器汇总!$A:$A,0)),""))</f>
        <v/>
      </c>
      <c r="J168" s="21" t="str">
        <f t="shared" si="18"/>
        <v/>
      </c>
      <c r="K168" s="23" t="str">
        <f t="shared" si="19"/>
        <v/>
      </c>
      <c r="L168" s="24" t="str">
        <f t="shared" si="20"/>
        <v/>
      </c>
      <c r="M168" s="24" t="str">
        <f t="shared" si="21"/>
        <v/>
      </c>
      <c r="N168" s="24" t="str">
        <f t="shared" si="22"/>
        <v/>
      </c>
      <c r="O168" s="23" t="str">
        <f t="shared" si="23"/>
        <v/>
      </c>
      <c r="P168" s="23" t="str">
        <f t="shared" si="24"/>
        <v/>
      </c>
      <c r="Q168" s="26" t="str">
        <f t="shared" si="25"/>
        <v/>
      </c>
      <c r="R168" t="str">
        <f t="shared" si="26"/>
        <v/>
      </c>
    </row>
    <row r="169" spans="1:18">
      <c r="A169" s="6"/>
      <c r="B169" s="6"/>
      <c r="C169" s="6"/>
      <c r="D169" s="20"/>
      <c r="E169" s="7"/>
      <c r="F169" s="7"/>
      <c r="G169" s="7"/>
      <c r="H169" s="21"/>
      <c r="I169" s="21" t="str">
        <f>IF(A169="","",IFERROR(INDEX(可选_寄存器汇总!$B:$B,MATCH(A169,可选_寄存器汇总!$A:$A,0)),""))</f>
        <v/>
      </c>
      <c r="J169" s="21" t="str">
        <f t="shared" si="18"/>
        <v/>
      </c>
      <c r="K169" s="23" t="str">
        <f t="shared" si="19"/>
        <v/>
      </c>
      <c r="L169" s="24" t="str">
        <f t="shared" si="20"/>
        <v/>
      </c>
      <c r="M169" s="24" t="str">
        <f t="shared" si="21"/>
        <v/>
      </c>
      <c r="N169" s="24" t="str">
        <f t="shared" si="22"/>
        <v/>
      </c>
      <c r="O169" s="23" t="str">
        <f t="shared" si="23"/>
        <v/>
      </c>
      <c r="P169" s="23" t="str">
        <f t="shared" si="24"/>
        <v/>
      </c>
      <c r="Q169" s="26" t="str">
        <f t="shared" si="25"/>
        <v/>
      </c>
      <c r="R169" t="str">
        <f t="shared" si="26"/>
        <v/>
      </c>
    </row>
    <row r="170" spans="1:18">
      <c r="A170" s="6"/>
      <c r="B170" s="6"/>
      <c r="C170" s="6"/>
      <c r="D170" s="20"/>
      <c r="E170" s="7"/>
      <c r="F170" s="7"/>
      <c r="G170" s="7"/>
      <c r="H170" s="21"/>
      <c r="I170" s="21" t="str">
        <f>IF(A170="","",IFERROR(INDEX(可选_寄存器汇总!$B:$B,MATCH(A170,可选_寄存器汇总!$A:$A,0)),""))</f>
        <v/>
      </c>
      <c r="J170" s="21" t="str">
        <f t="shared" si="18"/>
        <v/>
      </c>
      <c r="K170" s="23" t="str">
        <f t="shared" si="19"/>
        <v/>
      </c>
      <c r="L170" s="24" t="str">
        <f t="shared" si="20"/>
        <v/>
      </c>
      <c r="M170" s="24" t="str">
        <f t="shared" si="21"/>
        <v/>
      </c>
      <c r="N170" s="24" t="str">
        <f t="shared" si="22"/>
        <v/>
      </c>
      <c r="O170" s="23" t="str">
        <f t="shared" si="23"/>
        <v/>
      </c>
      <c r="P170" s="23" t="str">
        <f t="shared" si="24"/>
        <v/>
      </c>
      <c r="Q170" s="26" t="str">
        <f t="shared" si="25"/>
        <v/>
      </c>
      <c r="R170" t="str">
        <f t="shared" si="26"/>
        <v/>
      </c>
    </row>
    <row r="171" spans="1:18">
      <c r="A171" s="6"/>
      <c r="B171" s="6"/>
      <c r="C171" s="6"/>
      <c r="D171" s="20"/>
      <c r="E171" s="7"/>
      <c r="F171" s="7"/>
      <c r="G171" s="7"/>
      <c r="H171" s="21"/>
      <c r="I171" s="21" t="str">
        <f>IF(A171="","",IFERROR(INDEX(可选_寄存器汇总!$B:$B,MATCH(A171,可选_寄存器汇总!$A:$A,0)),""))</f>
        <v/>
      </c>
      <c r="J171" s="21" t="str">
        <f t="shared" si="18"/>
        <v/>
      </c>
      <c r="K171" s="23" t="str">
        <f t="shared" si="19"/>
        <v/>
      </c>
      <c r="L171" s="24" t="str">
        <f t="shared" si="20"/>
        <v/>
      </c>
      <c r="M171" s="24" t="str">
        <f t="shared" si="21"/>
        <v/>
      </c>
      <c r="N171" s="24" t="str">
        <f t="shared" si="22"/>
        <v/>
      </c>
      <c r="O171" s="23" t="str">
        <f t="shared" si="23"/>
        <v/>
      </c>
      <c r="P171" s="23" t="str">
        <f t="shared" si="24"/>
        <v/>
      </c>
      <c r="Q171" s="26" t="str">
        <f t="shared" si="25"/>
        <v/>
      </c>
      <c r="R171" t="str">
        <f t="shared" si="26"/>
        <v/>
      </c>
    </row>
    <row r="172" spans="1:18">
      <c r="A172" s="6"/>
      <c r="B172" s="6"/>
      <c r="C172" s="6"/>
      <c r="D172" s="20"/>
      <c r="E172" s="7"/>
      <c r="F172" s="7"/>
      <c r="G172" s="7"/>
      <c r="H172" s="21"/>
      <c r="I172" s="21" t="str">
        <f>IF(A172="","",IFERROR(INDEX(可选_寄存器汇总!$B:$B,MATCH(A172,可选_寄存器汇总!$A:$A,0)),""))</f>
        <v/>
      </c>
      <c r="J172" s="21" t="str">
        <f t="shared" si="18"/>
        <v/>
      </c>
      <c r="K172" s="23" t="str">
        <f t="shared" si="19"/>
        <v/>
      </c>
      <c r="L172" s="24" t="str">
        <f t="shared" si="20"/>
        <v/>
      </c>
      <c r="M172" s="24" t="str">
        <f t="shared" si="21"/>
        <v/>
      </c>
      <c r="N172" s="24" t="str">
        <f t="shared" si="22"/>
        <v/>
      </c>
      <c r="O172" s="23" t="str">
        <f t="shared" si="23"/>
        <v/>
      </c>
      <c r="P172" s="23" t="str">
        <f t="shared" si="24"/>
        <v/>
      </c>
      <c r="Q172" s="26" t="str">
        <f t="shared" si="25"/>
        <v/>
      </c>
      <c r="R172" t="str">
        <f t="shared" si="26"/>
        <v/>
      </c>
    </row>
    <row r="173" spans="1:18">
      <c r="A173" s="6"/>
      <c r="B173" s="6"/>
      <c r="C173" s="6"/>
      <c r="D173" s="20"/>
      <c r="E173" s="7"/>
      <c r="F173" s="7"/>
      <c r="G173" s="7"/>
      <c r="H173" s="21"/>
      <c r="I173" s="21" t="str">
        <f>IF(A173="","",IFERROR(INDEX(可选_寄存器汇总!$B:$B,MATCH(A173,可选_寄存器汇总!$A:$A,0)),""))</f>
        <v/>
      </c>
      <c r="J173" s="21" t="str">
        <f t="shared" si="18"/>
        <v/>
      </c>
      <c r="K173" s="23" t="str">
        <f t="shared" si="19"/>
        <v/>
      </c>
      <c r="L173" s="24" t="str">
        <f t="shared" si="20"/>
        <v/>
      </c>
      <c r="M173" s="24" t="str">
        <f t="shared" si="21"/>
        <v/>
      </c>
      <c r="N173" s="24" t="str">
        <f t="shared" si="22"/>
        <v/>
      </c>
      <c r="O173" s="23" t="str">
        <f t="shared" si="23"/>
        <v/>
      </c>
      <c r="P173" s="23" t="str">
        <f t="shared" si="24"/>
        <v/>
      </c>
      <c r="Q173" s="26" t="str">
        <f t="shared" si="25"/>
        <v/>
      </c>
      <c r="R173" t="str">
        <f t="shared" si="26"/>
        <v/>
      </c>
    </row>
    <row r="174" spans="1:18">
      <c r="A174" s="6"/>
      <c r="B174" s="6"/>
      <c r="C174" s="6"/>
      <c r="D174" s="20"/>
      <c r="E174" s="7"/>
      <c r="F174" s="7"/>
      <c r="G174" s="7"/>
      <c r="H174" s="21"/>
      <c r="I174" s="21" t="str">
        <f>IF(A174="","",IFERROR(INDEX(可选_寄存器汇总!$B:$B,MATCH(A174,可选_寄存器汇总!$A:$A,0)),""))</f>
        <v/>
      </c>
      <c r="J174" s="21" t="str">
        <f t="shared" si="18"/>
        <v/>
      </c>
      <c r="K174" s="23" t="str">
        <f t="shared" si="19"/>
        <v/>
      </c>
      <c r="L174" s="24" t="str">
        <f t="shared" si="20"/>
        <v/>
      </c>
      <c r="M174" s="24" t="str">
        <f t="shared" si="21"/>
        <v/>
      </c>
      <c r="N174" s="24" t="str">
        <f t="shared" si="22"/>
        <v/>
      </c>
      <c r="O174" s="23" t="str">
        <f t="shared" si="23"/>
        <v/>
      </c>
      <c r="P174" s="23" t="str">
        <f t="shared" si="24"/>
        <v/>
      </c>
      <c r="Q174" s="26" t="str">
        <f t="shared" si="25"/>
        <v/>
      </c>
      <c r="R174" t="str">
        <f t="shared" si="26"/>
        <v/>
      </c>
    </row>
    <row r="175" spans="1:18">
      <c r="A175" s="6"/>
      <c r="B175" s="6"/>
      <c r="C175" s="6"/>
      <c r="D175" s="20"/>
      <c r="E175" s="7"/>
      <c r="F175" s="7"/>
      <c r="G175" s="7"/>
      <c r="H175" s="21"/>
      <c r="I175" s="21" t="str">
        <f>IF(A175="","",IFERROR(INDEX(可选_寄存器汇总!$B:$B,MATCH(A175,可选_寄存器汇总!$A:$A,0)),""))</f>
        <v/>
      </c>
      <c r="J175" s="21" t="str">
        <f t="shared" si="18"/>
        <v/>
      </c>
      <c r="K175" s="23" t="str">
        <f t="shared" si="19"/>
        <v/>
      </c>
      <c r="L175" s="24" t="str">
        <f t="shared" si="20"/>
        <v/>
      </c>
      <c r="M175" s="24" t="str">
        <f t="shared" si="21"/>
        <v/>
      </c>
      <c r="N175" s="24" t="str">
        <f t="shared" si="22"/>
        <v/>
      </c>
      <c r="O175" s="23" t="str">
        <f t="shared" si="23"/>
        <v/>
      </c>
      <c r="P175" s="23" t="str">
        <f t="shared" si="24"/>
        <v/>
      </c>
      <c r="Q175" s="26" t="str">
        <f t="shared" si="25"/>
        <v/>
      </c>
      <c r="R175" t="str">
        <f t="shared" si="26"/>
        <v/>
      </c>
    </row>
    <row r="176" spans="1:18">
      <c r="A176" s="6"/>
      <c r="B176" s="6"/>
      <c r="C176" s="6"/>
      <c r="D176" s="20"/>
      <c r="E176" s="7"/>
      <c r="F176" s="7"/>
      <c r="G176" s="7"/>
      <c r="H176" s="21"/>
      <c r="I176" s="21" t="str">
        <f>IF(A176="","",IFERROR(INDEX(可选_寄存器汇总!$B:$B,MATCH(A176,可选_寄存器汇总!$A:$A,0)),""))</f>
        <v/>
      </c>
      <c r="J176" s="21" t="str">
        <f t="shared" si="18"/>
        <v/>
      </c>
      <c r="K176" s="23" t="str">
        <f t="shared" si="19"/>
        <v/>
      </c>
      <c r="L176" s="24" t="str">
        <f t="shared" si="20"/>
        <v/>
      </c>
      <c r="M176" s="24" t="str">
        <f t="shared" si="21"/>
        <v/>
      </c>
      <c r="N176" s="24" t="str">
        <f t="shared" si="22"/>
        <v/>
      </c>
      <c r="O176" s="23" t="str">
        <f t="shared" si="23"/>
        <v/>
      </c>
      <c r="P176" s="23" t="str">
        <f t="shared" si="24"/>
        <v/>
      </c>
      <c r="Q176" s="26" t="str">
        <f t="shared" si="25"/>
        <v/>
      </c>
      <c r="R176" t="str">
        <f t="shared" si="26"/>
        <v/>
      </c>
    </row>
    <row r="177" spans="1:18">
      <c r="A177" s="6"/>
      <c r="B177" s="6"/>
      <c r="C177" s="6"/>
      <c r="D177" s="20"/>
      <c r="E177" s="7"/>
      <c r="F177" s="7"/>
      <c r="G177" s="7"/>
      <c r="H177" s="21"/>
      <c r="I177" s="21" t="str">
        <f>IF(A177="","",IFERROR(INDEX(可选_寄存器汇总!$B:$B,MATCH(A177,可选_寄存器汇总!$A:$A,0)),""))</f>
        <v/>
      </c>
      <c r="J177" s="21" t="str">
        <f t="shared" si="18"/>
        <v/>
      </c>
      <c r="K177" s="23" t="str">
        <f t="shared" si="19"/>
        <v/>
      </c>
      <c r="L177" s="24" t="str">
        <f t="shared" si="20"/>
        <v/>
      </c>
      <c r="M177" s="24" t="str">
        <f t="shared" si="21"/>
        <v/>
      </c>
      <c r="N177" s="24" t="str">
        <f t="shared" si="22"/>
        <v/>
      </c>
      <c r="O177" s="23" t="str">
        <f t="shared" si="23"/>
        <v/>
      </c>
      <c r="P177" s="23" t="str">
        <f t="shared" si="24"/>
        <v/>
      </c>
      <c r="Q177" s="26" t="str">
        <f t="shared" si="25"/>
        <v/>
      </c>
      <c r="R177" t="str">
        <f t="shared" si="26"/>
        <v/>
      </c>
    </row>
    <row r="178" spans="1:18">
      <c r="A178" s="6"/>
      <c r="B178" s="6"/>
      <c r="C178" s="6"/>
      <c r="D178" s="20"/>
      <c r="E178" s="7"/>
      <c r="F178" s="7"/>
      <c r="G178" s="7"/>
      <c r="H178" s="21"/>
      <c r="I178" s="21" t="str">
        <f>IF(A178="","",IFERROR(INDEX(可选_寄存器汇总!$B:$B,MATCH(A178,可选_寄存器汇总!$A:$A,0)),""))</f>
        <v/>
      </c>
      <c r="J178" s="21" t="str">
        <f t="shared" si="18"/>
        <v/>
      </c>
      <c r="K178" s="23" t="str">
        <f t="shared" si="19"/>
        <v/>
      </c>
      <c r="L178" s="24" t="str">
        <f t="shared" si="20"/>
        <v/>
      </c>
      <c r="M178" s="24" t="str">
        <f t="shared" si="21"/>
        <v/>
      </c>
      <c r="N178" s="24" t="str">
        <f t="shared" si="22"/>
        <v/>
      </c>
      <c r="O178" s="23" t="str">
        <f t="shared" si="23"/>
        <v/>
      </c>
      <c r="P178" s="23" t="str">
        <f t="shared" si="24"/>
        <v/>
      </c>
      <c r="Q178" s="26" t="str">
        <f t="shared" si="25"/>
        <v/>
      </c>
      <c r="R178" t="str">
        <f t="shared" si="26"/>
        <v/>
      </c>
    </row>
    <row r="179" spans="1:18">
      <c r="A179" s="6"/>
      <c r="B179" s="6"/>
      <c r="C179" s="6"/>
      <c r="D179" s="20"/>
      <c r="E179" s="7"/>
      <c r="F179" s="7"/>
      <c r="G179" s="7"/>
      <c r="H179" s="21"/>
      <c r="I179" s="21" t="str">
        <f>IF(A179="","",IFERROR(INDEX(可选_寄存器汇总!$B:$B,MATCH(A179,可选_寄存器汇总!$A:$A,0)),""))</f>
        <v/>
      </c>
      <c r="J179" s="21" t="str">
        <f t="shared" si="18"/>
        <v/>
      </c>
      <c r="K179" s="23" t="str">
        <f t="shared" si="19"/>
        <v/>
      </c>
      <c r="L179" s="24" t="str">
        <f t="shared" si="20"/>
        <v/>
      </c>
      <c r="M179" s="24" t="str">
        <f t="shared" si="21"/>
        <v/>
      </c>
      <c r="N179" s="24" t="str">
        <f t="shared" si="22"/>
        <v/>
      </c>
      <c r="O179" s="23" t="str">
        <f t="shared" si="23"/>
        <v/>
      </c>
      <c r="P179" s="23" t="str">
        <f t="shared" si="24"/>
        <v/>
      </c>
      <c r="Q179" s="26" t="str">
        <f t="shared" si="25"/>
        <v/>
      </c>
      <c r="R179" t="str">
        <f t="shared" si="26"/>
        <v/>
      </c>
    </row>
    <row r="180" spans="1:18">
      <c r="A180" s="6"/>
      <c r="B180" s="6"/>
      <c r="C180" s="6"/>
      <c r="D180" s="20"/>
      <c r="E180" s="7"/>
      <c r="F180" s="7"/>
      <c r="G180" s="7"/>
      <c r="H180" s="21"/>
      <c r="I180" s="21" t="str">
        <f>IF(A180="","",IFERROR(INDEX(可选_寄存器汇总!$B:$B,MATCH(A180,可选_寄存器汇总!$A:$A,0)),""))</f>
        <v/>
      </c>
      <c r="J180" s="21" t="str">
        <f t="shared" si="18"/>
        <v/>
      </c>
      <c r="K180" s="23" t="str">
        <f t="shared" si="19"/>
        <v/>
      </c>
      <c r="L180" s="24" t="str">
        <f t="shared" si="20"/>
        <v/>
      </c>
      <c r="M180" s="24" t="str">
        <f t="shared" si="21"/>
        <v/>
      </c>
      <c r="N180" s="24" t="str">
        <f t="shared" si="22"/>
        <v/>
      </c>
      <c r="O180" s="23" t="str">
        <f t="shared" si="23"/>
        <v/>
      </c>
      <c r="P180" s="23" t="str">
        <f t="shared" si="24"/>
        <v/>
      </c>
      <c r="Q180" s="26" t="str">
        <f t="shared" si="25"/>
        <v/>
      </c>
      <c r="R180" t="str">
        <f t="shared" si="26"/>
        <v/>
      </c>
    </row>
    <row r="181" spans="1:18">
      <c r="A181" s="6"/>
      <c r="B181" s="6"/>
      <c r="C181" s="6"/>
      <c r="D181" s="20"/>
      <c r="E181" s="7"/>
      <c r="F181" s="7"/>
      <c r="G181" s="7"/>
      <c r="H181" s="21"/>
      <c r="I181" s="21" t="str">
        <f>IF(A181="","",IFERROR(INDEX(可选_寄存器汇总!$B:$B,MATCH(A181,可选_寄存器汇总!$A:$A,0)),""))</f>
        <v/>
      </c>
      <c r="J181" s="21" t="str">
        <f t="shared" si="18"/>
        <v/>
      </c>
      <c r="K181" s="23" t="str">
        <f t="shared" si="19"/>
        <v/>
      </c>
      <c r="L181" s="24" t="str">
        <f t="shared" si="20"/>
        <v/>
      </c>
      <c r="M181" s="24" t="str">
        <f t="shared" si="21"/>
        <v/>
      </c>
      <c r="N181" s="24" t="str">
        <f t="shared" si="22"/>
        <v/>
      </c>
      <c r="O181" s="23" t="str">
        <f t="shared" si="23"/>
        <v/>
      </c>
      <c r="P181" s="23" t="str">
        <f t="shared" si="24"/>
        <v/>
      </c>
      <c r="Q181" s="26" t="str">
        <f t="shared" si="25"/>
        <v/>
      </c>
      <c r="R181" t="str">
        <f t="shared" si="26"/>
        <v/>
      </c>
    </row>
    <row r="182" spans="1:18">
      <c r="A182" s="6"/>
      <c r="B182" s="6"/>
      <c r="C182" s="6"/>
      <c r="D182" s="20"/>
      <c r="E182" s="7"/>
      <c r="F182" s="7"/>
      <c r="G182" s="7"/>
      <c r="H182" s="21"/>
      <c r="I182" s="21" t="str">
        <f>IF(A182="","",IFERROR(INDEX(可选_寄存器汇总!$B:$B,MATCH(A182,可选_寄存器汇总!$A:$A,0)),""))</f>
        <v/>
      </c>
      <c r="J182" s="21" t="str">
        <f t="shared" si="18"/>
        <v/>
      </c>
      <c r="K182" s="23" t="str">
        <f t="shared" si="19"/>
        <v/>
      </c>
      <c r="L182" s="24" t="str">
        <f t="shared" si="20"/>
        <v/>
      </c>
      <c r="M182" s="24" t="str">
        <f t="shared" si="21"/>
        <v/>
      </c>
      <c r="N182" s="24" t="str">
        <f t="shared" si="22"/>
        <v/>
      </c>
      <c r="O182" s="23" t="str">
        <f t="shared" si="23"/>
        <v/>
      </c>
      <c r="P182" s="23" t="str">
        <f t="shared" si="24"/>
        <v/>
      </c>
      <c r="Q182" s="26" t="str">
        <f t="shared" si="25"/>
        <v/>
      </c>
      <c r="R182" t="str">
        <f t="shared" si="26"/>
        <v/>
      </c>
    </row>
    <row r="183" spans="1:18">
      <c r="A183" s="6"/>
      <c r="B183" s="6"/>
      <c r="C183" s="6"/>
      <c r="D183" s="20"/>
      <c r="E183" s="7"/>
      <c r="F183" s="7"/>
      <c r="G183" s="7"/>
      <c r="H183" s="21"/>
      <c r="I183" s="21" t="str">
        <f>IF(A183="","",IFERROR(INDEX(可选_寄存器汇总!$B:$B,MATCH(A183,可选_寄存器汇总!$A:$A,0)),""))</f>
        <v/>
      </c>
      <c r="J183" s="21" t="str">
        <f t="shared" si="18"/>
        <v/>
      </c>
      <c r="K183" s="23" t="str">
        <f t="shared" si="19"/>
        <v/>
      </c>
      <c r="L183" s="24" t="str">
        <f t="shared" si="20"/>
        <v/>
      </c>
      <c r="M183" s="24" t="str">
        <f t="shared" si="21"/>
        <v/>
      </c>
      <c r="N183" s="24" t="str">
        <f t="shared" si="22"/>
        <v/>
      </c>
      <c r="O183" s="23" t="str">
        <f t="shared" si="23"/>
        <v/>
      </c>
      <c r="P183" s="23" t="str">
        <f t="shared" si="24"/>
        <v/>
      </c>
      <c r="Q183" s="26" t="str">
        <f t="shared" si="25"/>
        <v/>
      </c>
      <c r="R183" t="str">
        <f t="shared" si="26"/>
        <v/>
      </c>
    </row>
    <row r="184" spans="1:18">
      <c r="A184" s="6"/>
      <c r="B184" s="6"/>
      <c r="C184" s="6"/>
      <c r="D184" s="20"/>
      <c r="E184" s="7"/>
      <c r="F184" s="7"/>
      <c r="G184" s="7"/>
      <c r="H184" s="21"/>
      <c r="I184" s="21" t="str">
        <f>IF(A184="","",IFERROR(INDEX(可选_寄存器汇总!$B:$B,MATCH(A184,可选_寄存器汇总!$A:$A,0)),""))</f>
        <v/>
      </c>
      <c r="J184" s="21" t="str">
        <f t="shared" si="18"/>
        <v/>
      </c>
      <c r="K184" s="23" t="str">
        <f t="shared" si="19"/>
        <v/>
      </c>
      <c r="L184" s="24" t="str">
        <f t="shared" si="20"/>
        <v/>
      </c>
      <c r="M184" s="24" t="str">
        <f t="shared" si="21"/>
        <v/>
      </c>
      <c r="N184" s="24" t="str">
        <f t="shared" si="22"/>
        <v/>
      </c>
      <c r="O184" s="23" t="str">
        <f t="shared" si="23"/>
        <v/>
      </c>
      <c r="P184" s="23" t="str">
        <f t="shared" si="24"/>
        <v/>
      </c>
      <c r="Q184" s="26" t="str">
        <f t="shared" si="25"/>
        <v/>
      </c>
      <c r="R184" t="str">
        <f t="shared" si="26"/>
        <v/>
      </c>
    </row>
    <row r="185" spans="1:18">
      <c r="A185" s="6"/>
      <c r="B185" s="6"/>
      <c r="C185" s="6"/>
      <c r="D185" s="20"/>
      <c r="E185" s="7"/>
      <c r="F185" s="7"/>
      <c r="G185" s="7"/>
      <c r="H185" s="21"/>
      <c r="I185" s="21" t="str">
        <f>IF(A185="","",IFERROR(INDEX(可选_寄存器汇总!$B:$B,MATCH(A185,可选_寄存器汇总!$A:$A,0)),""))</f>
        <v/>
      </c>
      <c r="J185" s="21" t="str">
        <f t="shared" si="18"/>
        <v/>
      </c>
      <c r="K185" s="23" t="str">
        <f t="shared" si="19"/>
        <v/>
      </c>
      <c r="L185" s="24" t="str">
        <f t="shared" si="20"/>
        <v/>
      </c>
      <c r="M185" s="24" t="str">
        <f t="shared" si="21"/>
        <v/>
      </c>
      <c r="N185" s="24" t="str">
        <f t="shared" si="22"/>
        <v/>
      </c>
      <c r="O185" s="23" t="str">
        <f t="shared" si="23"/>
        <v/>
      </c>
      <c r="P185" s="23" t="str">
        <f t="shared" si="24"/>
        <v/>
      </c>
      <c r="Q185" s="26" t="str">
        <f t="shared" si="25"/>
        <v/>
      </c>
      <c r="R185" t="str">
        <f t="shared" si="26"/>
        <v/>
      </c>
    </row>
    <row r="186" spans="1:18">
      <c r="A186" s="6"/>
      <c r="B186" s="6"/>
      <c r="C186" s="6"/>
      <c r="D186" s="20"/>
      <c r="E186" s="7"/>
      <c r="F186" s="7"/>
      <c r="G186" s="7"/>
      <c r="H186" s="21"/>
      <c r="I186" s="21" t="str">
        <f>IF(A186="","",IFERROR(INDEX(可选_寄存器汇总!$B:$B,MATCH(A186,可选_寄存器汇总!$A:$A,0)),""))</f>
        <v/>
      </c>
      <c r="J186" s="21" t="str">
        <f t="shared" si="18"/>
        <v/>
      </c>
      <c r="K186" s="23" t="str">
        <f t="shared" si="19"/>
        <v/>
      </c>
      <c r="L186" s="24" t="str">
        <f t="shared" si="20"/>
        <v/>
      </c>
      <c r="M186" s="24" t="str">
        <f t="shared" si="21"/>
        <v/>
      </c>
      <c r="N186" s="24" t="str">
        <f t="shared" si="22"/>
        <v/>
      </c>
      <c r="O186" s="23" t="str">
        <f t="shared" si="23"/>
        <v/>
      </c>
      <c r="P186" s="23" t="str">
        <f t="shared" si="24"/>
        <v/>
      </c>
      <c r="Q186" s="26" t="str">
        <f t="shared" si="25"/>
        <v/>
      </c>
      <c r="R186" t="str">
        <f t="shared" si="26"/>
        <v/>
      </c>
    </row>
    <row r="187" spans="1:18">
      <c r="A187" s="6"/>
      <c r="B187" s="6"/>
      <c r="C187" s="6"/>
      <c r="D187" s="20"/>
      <c r="E187" s="7"/>
      <c r="F187" s="7"/>
      <c r="G187" s="7"/>
      <c r="H187" s="21"/>
      <c r="I187" s="21" t="str">
        <f>IF(A187="","",IFERROR(INDEX(可选_寄存器汇总!$B:$B,MATCH(A187,可选_寄存器汇总!$A:$A,0)),""))</f>
        <v/>
      </c>
      <c r="J187" s="21" t="str">
        <f t="shared" si="18"/>
        <v/>
      </c>
      <c r="K187" s="23" t="str">
        <f t="shared" si="19"/>
        <v/>
      </c>
      <c r="L187" s="24" t="str">
        <f t="shared" si="20"/>
        <v/>
      </c>
      <c r="M187" s="24" t="str">
        <f t="shared" si="21"/>
        <v/>
      </c>
      <c r="N187" s="24" t="str">
        <f t="shared" si="22"/>
        <v/>
      </c>
      <c r="O187" s="23" t="str">
        <f t="shared" si="23"/>
        <v/>
      </c>
      <c r="P187" s="23" t="str">
        <f t="shared" si="24"/>
        <v/>
      </c>
      <c r="Q187" s="26" t="str">
        <f t="shared" si="25"/>
        <v/>
      </c>
      <c r="R187" t="str">
        <f t="shared" si="26"/>
        <v/>
      </c>
    </row>
    <row r="188" spans="1:18">
      <c r="A188" s="6"/>
      <c r="B188" s="6"/>
      <c r="C188" s="6"/>
      <c r="D188" s="20"/>
      <c r="E188" s="7"/>
      <c r="F188" s="7"/>
      <c r="G188" s="7"/>
      <c r="H188" s="21"/>
      <c r="I188" s="21" t="str">
        <f>IF(A188="","",IFERROR(INDEX(可选_寄存器汇总!$B:$B,MATCH(A188,可选_寄存器汇总!$A:$A,0)),""))</f>
        <v/>
      </c>
      <c r="J188" s="21" t="str">
        <f t="shared" si="18"/>
        <v/>
      </c>
      <c r="K188" s="23" t="str">
        <f t="shared" si="19"/>
        <v/>
      </c>
      <c r="L188" s="24" t="str">
        <f t="shared" si="20"/>
        <v/>
      </c>
      <c r="M188" s="24" t="str">
        <f t="shared" si="21"/>
        <v/>
      </c>
      <c r="N188" s="24" t="str">
        <f t="shared" si="22"/>
        <v/>
      </c>
      <c r="O188" s="23" t="str">
        <f t="shared" si="23"/>
        <v/>
      </c>
      <c r="P188" s="23" t="str">
        <f t="shared" si="24"/>
        <v/>
      </c>
      <c r="Q188" s="26" t="str">
        <f t="shared" si="25"/>
        <v/>
      </c>
      <c r="R188" t="str">
        <f t="shared" si="26"/>
        <v/>
      </c>
    </row>
    <row r="189" spans="1:18">
      <c r="A189" s="6"/>
      <c r="B189" s="6"/>
      <c r="C189" s="6"/>
      <c r="D189" s="20"/>
      <c r="E189" s="7"/>
      <c r="F189" s="7"/>
      <c r="G189" s="7"/>
      <c r="H189" s="21"/>
      <c r="I189" s="21" t="str">
        <f>IF(A189="","",IFERROR(INDEX(可选_寄存器汇总!$B:$B,MATCH(A189,可选_寄存器汇总!$A:$A,0)),""))</f>
        <v/>
      </c>
      <c r="J189" s="21" t="str">
        <f t="shared" si="18"/>
        <v/>
      </c>
      <c r="K189" s="23" t="str">
        <f t="shared" si="19"/>
        <v/>
      </c>
      <c r="L189" s="24" t="str">
        <f t="shared" si="20"/>
        <v/>
      </c>
      <c r="M189" s="24" t="str">
        <f t="shared" si="21"/>
        <v/>
      </c>
      <c r="N189" s="24" t="str">
        <f t="shared" si="22"/>
        <v/>
      </c>
      <c r="O189" s="23" t="str">
        <f t="shared" si="23"/>
        <v/>
      </c>
      <c r="P189" s="23" t="str">
        <f t="shared" si="24"/>
        <v/>
      </c>
      <c r="Q189" s="26" t="str">
        <f t="shared" si="25"/>
        <v/>
      </c>
      <c r="R189" t="str">
        <f t="shared" si="26"/>
        <v/>
      </c>
    </row>
    <row r="190" spans="1:18">
      <c r="A190" s="6"/>
      <c r="B190" s="6"/>
      <c r="C190" s="6"/>
      <c r="D190" s="20"/>
      <c r="E190" s="7"/>
      <c r="F190" s="7"/>
      <c r="G190" s="7"/>
      <c r="H190" s="21"/>
      <c r="I190" s="21" t="str">
        <f>IF(A190="","",IFERROR(INDEX(可选_寄存器汇总!$B:$B,MATCH(A190,可选_寄存器汇总!$A:$A,0)),""))</f>
        <v/>
      </c>
      <c r="J190" s="21" t="str">
        <f t="shared" si="18"/>
        <v/>
      </c>
      <c r="K190" s="23" t="str">
        <f t="shared" si="19"/>
        <v/>
      </c>
      <c r="L190" s="24" t="str">
        <f t="shared" si="20"/>
        <v/>
      </c>
      <c r="M190" s="24" t="str">
        <f t="shared" si="21"/>
        <v/>
      </c>
      <c r="N190" s="24" t="str">
        <f t="shared" si="22"/>
        <v/>
      </c>
      <c r="O190" s="23" t="str">
        <f t="shared" si="23"/>
        <v/>
      </c>
      <c r="P190" s="23" t="str">
        <f t="shared" si="24"/>
        <v/>
      </c>
      <c r="Q190" s="26" t="str">
        <f t="shared" si="25"/>
        <v/>
      </c>
      <c r="R190" t="str">
        <f t="shared" si="26"/>
        <v/>
      </c>
    </row>
    <row r="191" spans="1:18">
      <c r="A191" s="6"/>
      <c r="B191" s="6"/>
      <c r="C191" s="6"/>
      <c r="D191" s="20"/>
      <c r="E191" s="7"/>
      <c r="F191" s="7"/>
      <c r="G191" s="7"/>
      <c r="H191" s="21"/>
      <c r="I191" s="21" t="str">
        <f>IF(A191="","",IFERROR(INDEX(可选_寄存器汇总!$B:$B,MATCH(A191,可选_寄存器汇总!$A:$A,0)),""))</f>
        <v/>
      </c>
      <c r="J191" s="21" t="str">
        <f t="shared" si="18"/>
        <v/>
      </c>
      <c r="K191" s="23" t="str">
        <f t="shared" si="19"/>
        <v/>
      </c>
      <c r="L191" s="24" t="str">
        <f t="shared" si="20"/>
        <v/>
      </c>
      <c r="M191" s="24" t="str">
        <f t="shared" si="21"/>
        <v/>
      </c>
      <c r="N191" s="24" t="str">
        <f t="shared" si="22"/>
        <v/>
      </c>
      <c r="O191" s="23" t="str">
        <f t="shared" si="23"/>
        <v/>
      </c>
      <c r="P191" s="23" t="str">
        <f t="shared" si="24"/>
        <v/>
      </c>
      <c r="Q191" s="26" t="str">
        <f t="shared" si="25"/>
        <v/>
      </c>
      <c r="R191" t="str">
        <f t="shared" si="26"/>
        <v/>
      </c>
    </row>
    <row r="192" spans="1:18">
      <c r="A192" s="6"/>
      <c r="B192" s="6"/>
      <c r="C192" s="6"/>
      <c r="D192" s="20"/>
      <c r="E192" s="7"/>
      <c r="F192" s="7"/>
      <c r="G192" s="7"/>
      <c r="H192" s="21"/>
      <c r="I192" s="21" t="str">
        <f>IF(A192="","",IFERROR(INDEX(可选_寄存器汇总!$B:$B,MATCH(A192,可选_寄存器汇总!$A:$A,0)),""))</f>
        <v/>
      </c>
      <c r="J192" s="21" t="str">
        <f t="shared" si="18"/>
        <v/>
      </c>
      <c r="K192" s="23" t="str">
        <f t="shared" si="19"/>
        <v/>
      </c>
      <c r="L192" s="24" t="str">
        <f t="shared" si="20"/>
        <v/>
      </c>
      <c r="M192" s="24" t="str">
        <f t="shared" si="21"/>
        <v/>
      </c>
      <c r="N192" s="24" t="str">
        <f t="shared" si="22"/>
        <v/>
      </c>
      <c r="O192" s="23" t="str">
        <f t="shared" si="23"/>
        <v/>
      </c>
      <c r="P192" s="23" t="str">
        <f t="shared" si="24"/>
        <v/>
      </c>
      <c r="Q192" s="26" t="str">
        <f t="shared" si="25"/>
        <v/>
      </c>
      <c r="R192" t="str">
        <f t="shared" si="26"/>
        <v/>
      </c>
    </row>
    <row r="193" spans="1:18">
      <c r="A193" s="6"/>
      <c r="B193" s="6"/>
      <c r="C193" s="6"/>
      <c r="D193" s="20"/>
      <c r="E193" s="7"/>
      <c r="F193" s="7"/>
      <c r="G193" s="7"/>
      <c r="H193" s="21"/>
      <c r="I193" s="21" t="str">
        <f>IF(A193="","",IFERROR(INDEX(可选_寄存器汇总!$B:$B,MATCH(A193,可选_寄存器汇总!$A:$A,0)),""))</f>
        <v/>
      </c>
      <c r="J193" s="21" t="str">
        <f t="shared" si="18"/>
        <v/>
      </c>
      <c r="K193" s="23" t="str">
        <f t="shared" si="19"/>
        <v/>
      </c>
      <c r="L193" s="24" t="str">
        <f t="shared" si="20"/>
        <v/>
      </c>
      <c r="M193" s="24" t="str">
        <f t="shared" si="21"/>
        <v/>
      </c>
      <c r="N193" s="24" t="str">
        <f t="shared" si="22"/>
        <v/>
      </c>
      <c r="O193" s="23" t="str">
        <f t="shared" si="23"/>
        <v/>
      </c>
      <c r="P193" s="23" t="str">
        <f t="shared" si="24"/>
        <v/>
      </c>
      <c r="Q193" s="26" t="str">
        <f t="shared" si="25"/>
        <v/>
      </c>
      <c r="R193" t="str">
        <f t="shared" si="26"/>
        <v/>
      </c>
    </row>
    <row r="194" spans="1:18">
      <c r="A194" s="6"/>
      <c r="B194" s="6"/>
      <c r="C194" s="6"/>
      <c r="D194" s="20"/>
      <c r="E194" s="7"/>
      <c r="F194" s="7"/>
      <c r="G194" s="7"/>
      <c r="H194" s="21"/>
      <c r="I194" s="21" t="str">
        <f>IF(A194="","",IFERROR(INDEX(可选_寄存器汇总!$B:$B,MATCH(A194,可选_寄存器汇总!$A:$A,0)),""))</f>
        <v/>
      </c>
      <c r="J194" s="21" t="str">
        <f t="shared" si="18"/>
        <v/>
      </c>
      <c r="K194" s="23" t="str">
        <f t="shared" si="19"/>
        <v/>
      </c>
      <c r="L194" s="24" t="str">
        <f t="shared" si="20"/>
        <v/>
      </c>
      <c r="M194" s="24" t="str">
        <f t="shared" si="21"/>
        <v/>
      </c>
      <c r="N194" s="24" t="str">
        <f t="shared" si="22"/>
        <v/>
      </c>
      <c r="O194" s="23" t="str">
        <f t="shared" si="23"/>
        <v/>
      </c>
      <c r="P194" s="23" t="str">
        <f t="shared" si="24"/>
        <v/>
      </c>
      <c r="Q194" s="26" t="str">
        <f t="shared" si="25"/>
        <v/>
      </c>
      <c r="R194" t="str">
        <f t="shared" si="26"/>
        <v/>
      </c>
    </row>
    <row r="195" spans="1:18">
      <c r="A195" s="6"/>
      <c r="B195" s="6"/>
      <c r="C195" s="6"/>
      <c r="D195" s="20"/>
      <c r="E195" s="7"/>
      <c r="F195" s="7"/>
      <c r="G195" s="7"/>
      <c r="H195" s="21"/>
      <c r="I195" s="21" t="str">
        <f>IF(A195="","",IFERROR(INDEX(可选_寄存器汇总!$B:$B,MATCH(A195,可选_寄存器汇总!$A:$A,0)),""))</f>
        <v/>
      </c>
      <c r="J195" s="21" t="str">
        <f t="shared" si="18"/>
        <v/>
      </c>
      <c r="K195" s="23" t="str">
        <f t="shared" si="19"/>
        <v/>
      </c>
      <c r="L195" s="24" t="str">
        <f t="shared" si="20"/>
        <v/>
      </c>
      <c r="M195" s="24" t="str">
        <f t="shared" si="21"/>
        <v/>
      </c>
      <c r="N195" s="24" t="str">
        <f t="shared" si="22"/>
        <v/>
      </c>
      <c r="O195" s="23" t="str">
        <f t="shared" si="23"/>
        <v/>
      </c>
      <c r="P195" s="23" t="str">
        <f t="shared" si="24"/>
        <v/>
      </c>
      <c r="Q195" s="26" t="str">
        <f t="shared" si="25"/>
        <v/>
      </c>
      <c r="R195" t="str">
        <f t="shared" si="26"/>
        <v/>
      </c>
    </row>
    <row r="196" spans="1:18">
      <c r="A196" s="6"/>
      <c r="B196" s="6"/>
      <c r="C196" s="6"/>
      <c r="D196" s="20"/>
      <c r="E196" s="7"/>
      <c r="F196" s="7"/>
      <c r="G196" s="7"/>
      <c r="H196" s="21"/>
      <c r="I196" s="21" t="str">
        <f>IF(A196="","",IFERROR(INDEX(可选_寄存器汇总!$B:$B,MATCH(A196,可选_寄存器汇总!$A:$A,0)),""))</f>
        <v/>
      </c>
      <c r="J196" s="21" t="str">
        <f t="shared" ref="J196:J220" si="27">IF(D196="","",IFERROR(IF(ISNUMBER(SEARCH(":",D196)),VALUE(LEFT(D196,FIND(":",D196)-1)),VALUE(D196)),""))</f>
        <v/>
      </c>
      <c r="K196" s="23" t="str">
        <f t="shared" ref="K196:K220" si="28">IF(D196="","",IFERROR(IF(ISNUMBER(SEARCH(":",D196)),VALUE(MID(D196,FIND(":",D196)+1,99)),VALUE(D196)),""))</f>
        <v/>
      </c>
      <c r="L196" s="24" t="str">
        <f t="shared" ref="L196:L220" si="29">IF(OR(J196="",K196=""),"",IF(J196=K196,"&lt;"&amp;J196&amp;"&gt;","&lt;"&amp;J196&amp;":"&amp;K196&amp;"&gt;"))</f>
        <v/>
      </c>
      <c r="M196" s="24" t="str">
        <f t="shared" ref="M196:M220" si="30">IF(OR(J196="",K196=""),"",J196-K196+1)</f>
        <v/>
      </c>
      <c r="N196" s="24" t="str">
        <f t="shared" ref="N196:N220" si="31">IF(OR(M196="",K196=""),"",((2^M196)-1)*(2^K196))</f>
        <v/>
      </c>
      <c r="O196" s="23" t="str">
        <f t="shared" ref="O196:O220" si="32">IF(M196="","",(2^M196)-1)</f>
        <v/>
      </c>
      <c r="P196" s="23" t="str">
        <f t="shared" ref="P196:P220" si="33">IF(OR(B196="",L196=""),"",B196&amp;L196)</f>
        <v/>
      </c>
      <c r="Q196" s="26" t="str">
        <f t="shared" ref="Q196:Q220" si="34">IF(I196="","","0x"&amp;MID("0123456789ABCDEF",INT(I196/16)+1,1)&amp;MID("0123456789ABCDEF",MOD(I196,16)+1,1))</f>
        <v/>
      </c>
      <c r="R196" t="str">
        <f t="shared" ref="R196:R220" si="35">IF(COUNTA(A196:H196)=0,"",IF(OR(A196="",B196="",D196="",E196=""),"缺必填项",IF(I196="","寄存器地址缺失",IF(OR(J196="",K196=""),"bit_spec格式错误",IF(J196&lt;K196,"msb&lt;lsb",IF(E196&gt;O196,"默认值超范围","OK"))))))</f>
        <v/>
      </c>
    </row>
    <row r="197" spans="1:18">
      <c r="A197" s="6"/>
      <c r="B197" s="6"/>
      <c r="C197" s="6"/>
      <c r="D197" s="20"/>
      <c r="E197" s="7"/>
      <c r="F197" s="7"/>
      <c r="G197" s="7"/>
      <c r="H197" s="21"/>
      <c r="I197" s="21" t="str">
        <f>IF(A197="","",IFERROR(INDEX(可选_寄存器汇总!$B:$B,MATCH(A197,可选_寄存器汇总!$A:$A,0)),""))</f>
        <v/>
      </c>
      <c r="J197" s="21" t="str">
        <f t="shared" si="27"/>
        <v/>
      </c>
      <c r="K197" s="23" t="str">
        <f t="shared" si="28"/>
        <v/>
      </c>
      <c r="L197" s="24" t="str">
        <f t="shared" si="29"/>
        <v/>
      </c>
      <c r="M197" s="24" t="str">
        <f t="shared" si="30"/>
        <v/>
      </c>
      <c r="N197" s="24" t="str">
        <f t="shared" si="31"/>
        <v/>
      </c>
      <c r="O197" s="23" t="str">
        <f t="shared" si="32"/>
        <v/>
      </c>
      <c r="P197" s="23" t="str">
        <f t="shared" si="33"/>
        <v/>
      </c>
      <c r="Q197" s="26" t="str">
        <f t="shared" si="34"/>
        <v/>
      </c>
      <c r="R197" t="str">
        <f t="shared" si="35"/>
        <v/>
      </c>
    </row>
    <row r="198" spans="1:18">
      <c r="A198" s="6"/>
      <c r="B198" s="6"/>
      <c r="C198" s="6"/>
      <c r="D198" s="20"/>
      <c r="E198" s="7"/>
      <c r="F198" s="7"/>
      <c r="G198" s="7"/>
      <c r="H198" s="21"/>
      <c r="I198" s="21" t="str">
        <f>IF(A198="","",IFERROR(INDEX(可选_寄存器汇总!$B:$B,MATCH(A198,可选_寄存器汇总!$A:$A,0)),""))</f>
        <v/>
      </c>
      <c r="J198" s="21" t="str">
        <f t="shared" si="27"/>
        <v/>
      </c>
      <c r="K198" s="23" t="str">
        <f t="shared" si="28"/>
        <v/>
      </c>
      <c r="L198" s="24" t="str">
        <f t="shared" si="29"/>
        <v/>
      </c>
      <c r="M198" s="24" t="str">
        <f t="shared" si="30"/>
        <v/>
      </c>
      <c r="N198" s="24" t="str">
        <f t="shared" si="31"/>
        <v/>
      </c>
      <c r="O198" s="23" t="str">
        <f t="shared" si="32"/>
        <v/>
      </c>
      <c r="P198" s="23" t="str">
        <f t="shared" si="33"/>
        <v/>
      </c>
      <c r="Q198" s="26" t="str">
        <f t="shared" si="34"/>
        <v/>
      </c>
      <c r="R198" t="str">
        <f t="shared" si="35"/>
        <v/>
      </c>
    </row>
    <row r="199" spans="1:18">
      <c r="A199" s="6"/>
      <c r="B199" s="6"/>
      <c r="C199" s="6"/>
      <c r="D199" s="20"/>
      <c r="E199" s="7"/>
      <c r="F199" s="7"/>
      <c r="G199" s="7"/>
      <c r="H199" s="21"/>
      <c r="I199" s="21" t="str">
        <f>IF(A199="","",IFERROR(INDEX(可选_寄存器汇总!$B:$B,MATCH(A199,可选_寄存器汇总!$A:$A,0)),""))</f>
        <v/>
      </c>
      <c r="J199" s="21" t="str">
        <f t="shared" si="27"/>
        <v/>
      </c>
      <c r="K199" s="23" t="str">
        <f t="shared" si="28"/>
        <v/>
      </c>
      <c r="L199" s="24" t="str">
        <f t="shared" si="29"/>
        <v/>
      </c>
      <c r="M199" s="24" t="str">
        <f t="shared" si="30"/>
        <v/>
      </c>
      <c r="N199" s="24" t="str">
        <f t="shared" si="31"/>
        <v/>
      </c>
      <c r="O199" s="23" t="str">
        <f t="shared" si="32"/>
        <v/>
      </c>
      <c r="P199" s="23" t="str">
        <f t="shared" si="33"/>
        <v/>
      </c>
      <c r="Q199" s="26" t="str">
        <f t="shared" si="34"/>
        <v/>
      </c>
      <c r="R199" t="str">
        <f t="shared" si="35"/>
        <v/>
      </c>
    </row>
    <row r="200" spans="1:18">
      <c r="A200" s="6"/>
      <c r="B200" s="6"/>
      <c r="C200" s="6"/>
      <c r="D200" s="20"/>
      <c r="E200" s="7"/>
      <c r="F200" s="7"/>
      <c r="G200" s="7"/>
      <c r="H200" s="21"/>
      <c r="I200" s="21" t="str">
        <f>IF(A200="","",IFERROR(INDEX(可选_寄存器汇总!$B:$B,MATCH(A200,可选_寄存器汇总!$A:$A,0)),""))</f>
        <v/>
      </c>
      <c r="J200" s="21" t="str">
        <f t="shared" si="27"/>
        <v/>
      </c>
      <c r="K200" s="23" t="str">
        <f t="shared" si="28"/>
        <v/>
      </c>
      <c r="L200" s="24" t="str">
        <f t="shared" si="29"/>
        <v/>
      </c>
      <c r="M200" s="24" t="str">
        <f t="shared" si="30"/>
        <v/>
      </c>
      <c r="N200" s="24" t="str">
        <f t="shared" si="31"/>
        <v/>
      </c>
      <c r="O200" s="23" t="str">
        <f t="shared" si="32"/>
        <v/>
      </c>
      <c r="P200" s="23" t="str">
        <f t="shared" si="33"/>
        <v/>
      </c>
      <c r="Q200" s="26" t="str">
        <f t="shared" si="34"/>
        <v/>
      </c>
      <c r="R200" t="str">
        <f t="shared" si="35"/>
        <v/>
      </c>
    </row>
    <row r="201" spans="1:18">
      <c r="A201" s="6"/>
      <c r="B201" s="6"/>
      <c r="C201" s="6"/>
      <c r="D201" s="20"/>
      <c r="E201" s="7"/>
      <c r="F201" s="7"/>
      <c r="G201" s="7"/>
      <c r="H201" s="21"/>
      <c r="I201" s="21" t="str">
        <f>IF(A201="","",IFERROR(INDEX(可选_寄存器汇总!$B:$B,MATCH(A201,可选_寄存器汇总!$A:$A,0)),""))</f>
        <v/>
      </c>
      <c r="J201" s="21" t="str">
        <f t="shared" si="27"/>
        <v/>
      </c>
      <c r="K201" s="23" t="str">
        <f t="shared" si="28"/>
        <v/>
      </c>
      <c r="L201" s="24" t="str">
        <f t="shared" si="29"/>
        <v/>
      </c>
      <c r="M201" s="24" t="str">
        <f t="shared" si="30"/>
        <v/>
      </c>
      <c r="N201" s="24" t="str">
        <f t="shared" si="31"/>
        <v/>
      </c>
      <c r="O201" s="23" t="str">
        <f t="shared" si="32"/>
        <v/>
      </c>
      <c r="P201" s="23" t="str">
        <f t="shared" si="33"/>
        <v/>
      </c>
      <c r="Q201" s="26" t="str">
        <f t="shared" si="34"/>
        <v/>
      </c>
      <c r="R201" t="str">
        <f t="shared" si="35"/>
        <v/>
      </c>
    </row>
    <row r="202" spans="1:18">
      <c r="A202" s="6"/>
      <c r="B202" s="6"/>
      <c r="C202" s="6"/>
      <c r="D202" s="20"/>
      <c r="E202" s="7"/>
      <c r="F202" s="7"/>
      <c r="G202" s="7"/>
      <c r="H202" s="21"/>
      <c r="I202" s="21" t="str">
        <f>IF(A202="","",IFERROR(INDEX(可选_寄存器汇总!$B:$B,MATCH(A202,可选_寄存器汇总!$A:$A,0)),""))</f>
        <v/>
      </c>
      <c r="J202" s="21" t="str">
        <f t="shared" si="27"/>
        <v/>
      </c>
      <c r="K202" s="23" t="str">
        <f t="shared" si="28"/>
        <v/>
      </c>
      <c r="L202" s="24" t="str">
        <f t="shared" si="29"/>
        <v/>
      </c>
      <c r="M202" s="24" t="str">
        <f t="shared" si="30"/>
        <v/>
      </c>
      <c r="N202" s="24" t="str">
        <f t="shared" si="31"/>
        <v/>
      </c>
      <c r="O202" s="23" t="str">
        <f t="shared" si="32"/>
        <v/>
      </c>
      <c r="P202" s="23" t="str">
        <f t="shared" si="33"/>
        <v/>
      </c>
      <c r="Q202" s="26" t="str">
        <f t="shared" si="34"/>
        <v/>
      </c>
      <c r="R202" t="str">
        <f t="shared" si="35"/>
        <v/>
      </c>
    </row>
    <row r="203" spans="1:18">
      <c r="A203" s="6"/>
      <c r="B203" s="6"/>
      <c r="C203" s="6"/>
      <c r="D203" s="20"/>
      <c r="E203" s="7"/>
      <c r="F203" s="7"/>
      <c r="G203" s="7"/>
      <c r="H203" s="21"/>
      <c r="I203" s="21" t="str">
        <f>IF(A203="","",IFERROR(INDEX(可选_寄存器汇总!$B:$B,MATCH(A203,可选_寄存器汇总!$A:$A,0)),""))</f>
        <v/>
      </c>
      <c r="J203" s="21" t="str">
        <f t="shared" si="27"/>
        <v/>
      </c>
      <c r="K203" s="23" t="str">
        <f t="shared" si="28"/>
        <v/>
      </c>
      <c r="L203" s="24" t="str">
        <f t="shared" si="29"/>
        <v/>
      </c>
      <c r="M203" s="24" t="str">
        <f t="shared" si="30"/>
        <v/>
      </c>
      <c r="N203" s="24" t="str">
        <f t="shared" si="31"/>
        <v/>
      </c>
      <c r="O203" s="23" t="str">
        <f t="shared" si="32"/>
        <v/>
      </c>
      <c r="P203" s="23" t="str">
        <f t="shared" si="33"/>
        <v/>
      </c>
      <c r="Q203" s="26" t="str">
        <f t="shared" si="34"/>
        <v/>
      </c>
      <c r="R203" t="str">
        <f t="shared" si="35"/>
        <v/>
      </c>
    </row>
    <row r="204" spans="1:18">
      <c r="A204" s="6"/>
      <c r="B204" s="6"/>
      <c r="C204" s="6"/>
      <c r="D204" s="20"/>
      <c r="E204" s="7"/>
      <c r="F204" s="7"/>
      <c r="G204" s="7"/>
      <c r="H204" s="21"/>
      <c r="I204" s="21" t="str">
        <f>IF(A204="","",IFERROR(INDEX(可选_寄存器汇总!$B:$B,MATCH(A204,可选_寄存器汇总!$A:$A,0)),""))</f>
        <v/>
      </c>
      <c r="J204" s="21" t="str">
        <f t="shared" si="27"/>
        <v/>
      </c>
      <c r="K204" s="23" t="str">
        <f t="shared" si="28"/>
        <v/>
      </c>
      <c r="L204" s="24" t="str">
        <f t="shared" si="29"/>
        <v/>
      </c>
      <c r="M204" s="24" t="str">
        <f t="shared" si="30"/>
        <v/>
      </c>
      <c r="N204" s="24" t="str">
        <f t="shared" si="31"/>
        <v/>
      </c>
      <c r="O204" s="23" t="str">
        <f t="shared" si="32"/>
        <v/>
      </c>
      <c r="P204" s="23" t="str">
        <f t="shared" si="33"/>
        <v/>
      </c>
      <c r="Q204" s="26" t="str">
        <f t="shared" si="34"/>
        <v/>
      </c>
      <c r="R204" t="str">
        <f t="shared" si="35"/>
        <v/>
      </c>
    </row>
    <row r="205" spans="1:18">
      <c r="A205" s="6"/>
      <c r="B205" s="6"/>
      <c r="C205" s="6"/>
      <c r="D205" s="20"/>
      <c r="E205" s="7"/>
      <c r="F205" s="7"/>
      <c r="G205" s="7"/>
      <c r="H205" s="21"/>
      <c r="I205" s="21" t="str">
        <f>IF(A205="","",IFERROR(INDEX(可选_寄存器汇总!$B:$B,MATCH(A205,可选_寄存器汇总!$A:$A,0)),""))</f>
        <v/>
      </c>
      <c r="J205" s="21" t="str">
        <f t="shared" si="27"/>
        <v/>
      </c>
      <c r="K205" s="23" t="str">
        <f t="shared" si="28"/>
        <v/>
      </c>
      <c r="L205" s="24" t="str">
        <f t="shared" si="29"/>
        <v/>
      </c>
      <c r="M205" s="24" t="str">
        <f t="shared" si="30"/>
        <v/>
      </c>
      <c r="N205" s="24" t="str">
        <f t="shared" si="31"/>
        <v/>
      </c>
      <c r="O205" s="23" t="str">
        <f t="shared" si="32"/>
        <v/>
      </c>
      <c r="P205" s="23" t="str">
        <f t="shared" si="33"/>
        <v/>
      </c>
      <c r="Q205" s="26" t="str">
        <f t="shared" si="34"/>
        <v/>
      </c>
      <c r="R205" t="str">
        <f t="shared" si="35"/>
        <v/>
      </c>
    </row>
    <row r="206" spans="1:18">
      <c r="A206" s="6"/>
      <c r="B206" s="6"/>
      <c r="C206" s="6"/>
      <c r="D206" s="20"/>
      <c r="E206" s="7"/>
      <c r="F206" s="7"/>
      <c r="G206" s="7"/>
      <c r="H206" s="21"/>
      <c r="I206" s="21" t="str">
        <f>IF(A206="","",IFERROR(INDEX(可选_寄存器汇总!$B:$B,MATCH(A206,可选_寄存器汇总!$A:$A,0)),""))</f>
        <v/>
      </c>
      <c r="J206" s="21" t="str">
        <f t="shared" si="27"/>
        <v/>
      </c>
      <c r="K206" s="23" t="str">
        <f t="shared" si="28"/>
        <v/>
      </c>
      <c r="L206" s="24" t="str">
        <f t="shared" si="29"/>
        <v/>
      </c>
      <c r="M206" s="24" t="str">
        <f t="shared" si="30"/>
        <v/>
      </c>
      <c r="N206" s="24" t="str">
        <f t="shared" si="31"/>
        <v/>
      </c>
      <c r="O206" s="23" t="str">
        <f t="shared" si="32"/>
        <v/>
      </c>
      <c r="P206" s="23" t="str">
        <f t="shared" si="33"/>
        <v/>
      </c>
      <c r="Q206" s="26" t="str">
        <f t="shared" si="34"/>
        <v/>
      </c>
      <c r="R206" t="str">
        <f t="shared" si="35"/>
        <v/>
      </c>
    </row>
    <row r="207" spans="1:18">
      <c r="A207" s="6"/>
      <c r="B207" s="6"/>
      <c r="C207" s="6"/>
      <c r="D207" s="20"/>
      <c r="E207" s="7"/>
      <c r="F207" s="7"/>
      <c r="G207" s="7"/>
      <c r="H207" s="21"/>
      <c r="I207" s="21" t="str">
        <f>IF(A207="","",IFERROR(INDEX(可选_寄存器汇总!$B:$B,MATCH(A207,可选_寄存器汇总!$A:$A,0)),""))</f>
        <v/>
      </c>
      <c r="J207" s="21" t="str">
        <f t="shared" si="27"/>
        <v/>
      </c>
      <c r="K207" s="23" t="str">
        <f t="shared" si="28"/>
        <v/>
      </c>
      <c r="L207" s="24" t="str">
        <f t="shared" si="29"/>
        <v/>
      </c>
      <c r="M207" s="24" t="str">
        <f t="shared" si="30"/>
        <v/>
      </c>
      <c r="N207" s="24" t="str">
        <f t="shared" si="31"/>
        <v/>
      </c>
      <c r="O207" s="23" t="str">
        <f t="shared" si="32"/>
        <v/>
      </c>
      <c r="P207" s="23" t="str">
        <f t="shared" si="33"/>
        <v/>
      </c>
      <c r="Q207" s="26" t="str">
        <f t="shared" si="34"/>
        <v/>
      </c>
      <c r="R207" t="str">
        <f t="shared" si="35"/>
        <v/>
      </c>
    </row>
    <row r="208" spans="1:18">
      <c r="A208" s="6"/>
      <c r="B208" s="6"/>
      <c r="C208" s="6"/>
      <c r="D208" s="20"/>
      <c r="E208" s="7"/>
      <c r="F208" s="7"/>
      <c r="G208" s="7"/>
      <c r="H208" s="21"/>
      <c r="I208" s="21" t="str">
        <f>IF(A208="","",IFERROR(INDEX(可选_寄存器汇总!$B:$B,MATCH(A208,可选_寄存器汇总!$A:$A,0)),""))</f>
        <v/>
      </c>
      <c r="J208" s="21" t="str">
        <f t="shared" si="27"/>
        <v/>
      </c>
      <c r="K208" s="23" t="str">
        <f t="shared" si="28"/>
        <v/>
      </c>
      <c r="L208" s="24" t="str">
        <f t="shared" si="29"/>
        <v/>
      </c>
      <c r="M208" s="24" t="str">
        <f t="shared" si="30"/>
        <v/>
      </c>
      <c r="N208" s="24" t="str">
        <f t="shared" si="31"/>
        <v/>
      </c>
      <c r="O208" s="23" t="str">
        <f t="shared" si="32"/>
        <v/>
      </c>
      <c r="P208" s="23" t="str">
        <f t="shared" si="33"/>
        <v/>
      </c>
      <c r="Q208" s="26" t="str">
        <f t="shared" si="34"/>
        <v/>
      </c>
      <c r="R208" t="str">
        <f t="shared" si="35"/>
        <v/>
      </c>
    </row>
    <row r="209" spans="1:18">
      <c r="A209" s="6"/>
      <c r="B209" s="6"/>
      <c r="C209" s="6"/>
      <c r="D209" s="20"/>
      <c r="E209" s="7"/>
      <c r="F209" s="7"/>
      <c r="G209" s="7"/>
      <c r="H209" s="21"/>
      <c r="I209" s="21" t="str">
        <f>IF(A209="","",IFERROR(INDEX(可选_寄存器汇总!$B:$B,MATCH(A209,可选_寄存器汇总!$A:$A,0)),""))</f>
        <v/>
      </c>
      <c r="J209" s="21" t="str">
        <f t="shared" si="27"/>
        <v/>
      </c>
      <c r="K209" s="23" t="str">
        <f t="shared" si="28"/>
        <v/>
      </c>
      <c r="L209" s="24" t="str">
        <f t="shared" si="29"/>
        <v/>
      </c>
      <c r="M209" s="24" t="str">
        <f t="shared" si="30"/>
        <v/>
      </c>
      <c r="N209" s="24" t="str">
        <f t="shared" si="31"/>
        <v/>
      </c>
      <c r="O209" s="23" t="str">
        <f t="shared" si="32"/>
        <v/>
      </c>
      <c r="P209" s="23" t="str">
        <f t="shared" si="33"/>
        <v/>
      </c>
      <c r="Q209" s="26" t="str">
        <f t="shared" si="34"/>
        <v/>
      </c>
      <c r="R209" t="str">
        <f t="shared" si="35"/>
        <v/>
      </c>
    </row>
    <row r="210" spans="1:18">
      <c r="A210" s="6"/>
      <c r="B210" s="6"/>
      <c r="C210" s="6"/>
      <c r="D210" s="20"/>
      <c r="E210" s="7"/>
      <c r="F210" s="7"/>
      <c r="G210" s="7"/>
      <c r="H210" s="21"/>
      <c r="I210" s="21" t="str">
        <f>IF(A210="","",IFERROR(INDEX(可选_寄存器汇总!$B:$B,MATCH(A210,可选_寄存器汇总!$A:$A,0)),""))</f>
        <v/>
      </c>
      <c r="J210" s="21" t="str">
        <f t="shared" si="27"/>
        <v/>
      </c>
      <c r="K210" s="23" t="str">
        <f t="shared" si="28"/>
        <v/>
      </c>
      <c r="L210" s="24" t="str">
        <f t="shared" si="29"/>
        <v/>
      </c>
      <c r="M210" s="24" t="str">
        <f t="shared" si="30"/>
        <v/>
      </c>
      <c r="N210" s="24" t="str">
        <f t="shared" si="31"/>
        <v/>
      </c>
      <c r="O210" s="23" t="str">
        <f t="shared" si="32"/>
        <v/>
      </c>
      <c r="P210" s="23" t="str">
        <f t="shared" si="33"/>
        <v/>
      </c>
      <c r="Q210" s="26" t="str">
        <f t="shared" si="34"/>
        <v/>
      </c>
      <c r="R210" t="str">
        <f t="shared" si="35"/>
        <v/>
      </c>
    </row>
    <row r="211" spans="1:18">
      <c r="A211" s="6"/>
      <c r="B211" s="6"/>
      <c r="C211" s="6"/>
      <c r="D211" s="20"/>
      <c r="E211" s="7"/>
      <c r="F211" s="7"/>
      <c r="G211" s="7"/>
      <c r="H211" s="21"/>
      <c r="I211" s="21" t="str">
        <f>IF(A211="","",IFERROR(INDEX(可选_寄存器汇总!$B:$B,MATCH(A211,可选_寄存器汇总!$A:$A,0)),""))</f>
        <v/>
      </c>
      <c r="J211" s="21" t="str">
        <f t="shared" si="27"/>
        <v/>
      </c>
      <c r="K211" s="23" t="str">
        <f t="shared" si="28"/>
        <v/>
      </c>
      <c r="L211" s="24" t="str">
        <f t="shared" si="29"/>
        <v/>
      </c>
      <c r="M211" s="24" t="str">
        <f t="shared" si="30"/>
        <v/>
      </c>
      <c r="N211" s="24" t="str">
        <f t="shared" si="31"/>
        <v/>
      </c>
      <c r="O211" s="23" t="str">
        <f t="shared" si="32"/>
        <v/>
      </c>
      <c r="P211" s="23" t="str">
        <f t="shared" si="33"/>
        <v/>
      </c>
      <c r="Q211" s="26" t="str">
        <f t="shared" si="34"/>
        <v/>
      </c>
      <c r="R211" t="str">
        <f t="shared" si="35"/>
        <v/>
      </c>
    </row>
    <row r="212" spans="1:18">
      <c r="A212" s="6"/>
      <c r="B212" s="6"/>
      <c r="C212" s="6"/>
      <c r="D212" s="20"/>
      <c r="E212" s="7"/>
      <c r="F212" s="7"/>
      <c r="G212" s="7"/>
      <c r="H212" s="21"/>
      <c r="I212" s="21" t="str">
        <f>IF(A212="","",IFERROR(INDEX(可选_寄存器汇总!$B:$B,MATCH(A212,可选_寄存器汇总!$A:$A,0)),""))</f>
        <v/>
      </c>
      <c r="J212" s="21" t="str">
        <f t="shared" si="27"/>
        <v/>
      </c>
      <c r="K212" s="23" t="str">
        <f t="shared" si="28"/>
        <v/>
      </c>
      <c r="L212" s="24" t="str">
        <f t="shared" si="29"/>
        <v/>
      </c>
      <c r="M212" s="24" t="str">
        <f t="shared" si="30"/>
        <v/>
      </c>
      <c r="N212" s="24" t="str">
        <f t="shared" si="31"/>
        <v/>
      </c>
      <c r="O212" s="23" t="str">
        <f t="shared" si="32"/>
        <v/>
      </c>
      <c r="P212" s="23" t="str">
        <f t="shared" si="33"/>
        <v/>
      </c>
      <c r="Q212" s="26" t="str">
        <f t="shared" si="34"/>
        <v/>
      </c>
      <c r="R212" t="str">
        <f t="shared" si="35"/>
        <v/>
      </c>
    </row>
    <row r="213" spans="1:18">
      <c r="A213" s="6"/>
      <c r="B213" s="6"/>
      <c r="C213" s="6"/>
      <c r="D213" s="20"/>
      <c r="E213" s="7"/>
      <c r="F213" s="7"/>
      <c r="G213" s="7"/>
      <c r="H213" s="21"/>
      <c r="I213" s="21" t="str">
        <f>IF(A213="","",IFERROR(INDEX(可选_寄存器汇总!$B:$B,MATCH(A213,可选_寄存器汇总!$A:$A,0)),""))</f>
        <v/>
      </c>
      <c r="J213" s="21" t="str">
        <f t="shared" si="27"/>
        <v/>
      </c>
      <c r="K213" s="23" t="str">
        <f t="shared" si="28"/>
        <v/>
      </c>
      <c r="L213" s="24" t="str">
        <f t="shared" si="29"/>
        <v/>
      </c>
      <c r="M213" s="24" t="str">
        <f t="shared" si="30"/>
        <v/>
      </c>
      <c r="N213" s="24" t="str">
        <f t="shared" si="31"/>
        <v/>
      </c>
      <c r="O213" s="23" t="str">
        <f t="shared" si="32"/>
        <v/>
      </c>
      <c r="P213" s="23" t="str">
        <f t="shared" si="33"/>
        <v/>
      </c>
      <c r="Q213" s="26" t="str">
        <f t="shared" si="34"/>
        <v/>
      </c>
      <c r="R213" t="str">
        <f t="shared" si="35"/>
        <v/>
      </c>
    </row>
    <row r="214" spans="1:18">
      <c r="A214" s="6"/>
      <c r="B214" s="6"/>
      <c r="C214" s="6"/>
      <c r="D214" s="20"/>
      <c r="E214" s="7"/>
      <c r="F214" s="7"/>
      <c r="G214" s="7"/>
      <c r="H214" s="21"/>
      <c r="I214" s="21" t="str">
        <f>IF(A214="","",IFERROR(INDEX(可选_寄存器汇总!$B:$B,MATCH(A214,可选_寄存器汇总!$A:$A,0)),""))</f>
        <v/>
      </c>
      <c r="J214" s="21" t="str">
        <f t="shared" si="27"/>
        <v/>
      </c>
      <c r="K214" s="23" t="str">
        <f t="shared" si="28"/>
        <v/>
      </c>
      <c r="L214" s="24" t="str">
        <f t="shared" si="29"/>
        <v/>
      </c>
      <c r="M214" s="24" t="str">
        <f t="shared" si="30"/>
        <v/>
      </c>
      <c r="N214" s="24" t="str">
        <f t="shared" si="31"/>
        <v/>
      </c>
      <c r="O214" s="23" t="str">
        <f t="shared" si="32"/>
        <v/>
      </c>
      <c r="P214" s="23" t="str">
        <f t="shared" si="33"/>
        <v/>
      </c>
      <c r="Q214" s="26" t="str">
        <f t="shared" si="34"/>
        <v/>
      </c>
      <c r="R214" t="str">
        <f t="shared" si="35"/>
        <v/>
      </c>
    </row>
    <row r="215" spans="1:18">
      <c r="A215" s="6"/>
      <c r="B215" s="6"/>
      <c r="C215" s="6"/>
      <c r="D215" s="20"/>
      <c r="E215" s="7"/>
      <c r="F215" s="7"/>
      <c r="G215" s="7"/>
      <c r="H215" s="21"/>
      <c r="I215" s="21" t="str">
        <f>IF(A215="","",IFERROR(INDEX(可选_寄存器汇总!$B:$B,MATCH(A215,可选_寄存器汇总!$A:$A,0)),""))</f>
        <v/>
      </c>
      <c r="J215" s="21" t="str">
        <f t="shared" si="27"/>
        <v/>
      </c>
      <c r="K215" s="23" t="str">
        <f t="shared" si="28"/>
        <v/>
      </c>
      <c r="L215" s="24" t="str">
        <f t="shared" si="29"/>
        <v/>
      </c>
      <c r="M215" s="24" t="str">
        <f t="shared" si="30"/>
        <v/>
      </c>
      <c r="N215" s="24" t="str">
        <f t="shared" si="31"/>
        <v/>
      </c>
      <c r="O215" s="23" t="str">
        <f t="shared" si="32"/>
        <v/>
      </c>
      <c r="P215" s="23" t="str">
        <f t="shared" si="33"/>
        <v/>
      </c>
      <c r="Q215" s="26" t="str">
        <f t="shared" si="34"/>
        <v/>
      </c>
      <c r="R215" t="str">
        <f t="shared" si="35"/>
        <v/>
      </c>
    </row>
    <row r="216" spans="1:18">
      <c r="A216" s="6"/>
      <c r="B216" s="6"/>
      <c r="C216" s="6"/>
      <c r="D216" s="20"/>
      <c r="E216" s="7"/>
      <c r="F216" s="7"/>
      <c r="G216" s="7"/>
      <c r="H216" s="21"/>
      <c r="I216" s="21" t="str">
        <f>IF(A216="","",IFERROR(INDEX(可选_寄存器汇总!$B:$B,MATCH(A216,可选_寄存器汇总!$A:$A,0)),""))</f>
        <v/>
      </c>
      <c r="J216" s="21" t="str">
        <f t="shared" si="27"/>
        <v/>
      </c>
      <c r="K216" s="23" t="str">
        <f t="shared" si="28"/>
        <v/>
      </c>
      <c r="L216" s="24" t="str">
        <f t="shared" si="29"/>
        <v/>
      </c>
      <c r="M216" s="24" t="str">
        <f t="shared" si="30"/>
        <v/>
      </c>
      <c r="N216" s="24" t="str">
        <f t="shared" si="31"/>
        <v/>
      </c>
      <c r="O216" s="23" t="str">
        <f t="shared" si="32"/>
        <v/>
      </c>
      <c r="P216" s="23" t="str">
        <f t="shared" si="33"/>
        <v/>
      </c>
      <c r="Q216" s="26" t="str">
        <f t="shared" si="34"/>
        <v/>
      </c>
      <c r="R216" t="str">
        <f t="shared" si="35"/>
        <v/>
      </c>
    </row>
    <row r="217" spans="1:18">
      <c r="A217" s="6"/>
      <c r="B217" s="6"/>
      <c r="C217" s="6"/>
      <c r="D217" s="20"/>
      <c r="E217" s="7"/>
      <c r="F217" s="7"/>
      <c r="G217" s="7"/>
      <c r="H217" s="21"/>
      <c r="I217" s="21" t="str">
        <f>IF(A217="","",IFERROR(INDEX(可选_寄存器汇总!$B:$B,MATCH(A217,可选_寄存器汇总!$A:$A,0)),""))</f>
        <v/>
      </c>
      <c r="J217" s="21" t="str">
        <f t="shared" si="27"/>
        <v/>
      </c>
      <c r="K217" s="23" t="str">
        <f t="shared" si="28"/>
        <v/>
      </c>
      <c r="L217" s="24" t="str">
        <f t="shared" si="29"/>
        <v/>
      </c>
      <c r="M217" s="24" t="str">
        <f t="shared" si="30"/>
        <v/>
      </c>
      <c r="N217" s="24" t="str">
        <f t="shared" si="31"/>
        <v/>
      </c>
      <c r="O217" s="23" t="str">
        <f t="shared" si="32"/>
        <v/>
      </c>
      <c r="P217" s="23" t="str">
        <f t="shared" si="33"/>
        <v/>
      </c>
      <c r="Q217" s="26" t="str">
        <f t="shared" si="34"/>
        <v/>
      </c>
      <c r="R217" t="str">
        <f t="shared" si="35"/>
        <v/>
      </c>
    </row>
    <row r="218" spans="1:18">
      <c r="A218" s="6"/>
      <c r="B218" s="6"/>
      <c r="C218" s="6"/>
      <c r="D218" s="20"/>
      <c r="E218" s="7"/>
      <c r="F218" s="7"/>
      <c r="G218" s="7"/>
      <c r="H218" s="21"/>
      <c r="I218" s="21" t="str">
        <f>IF(A218="","",IFERROR(INDEX(可选_寄存器汇总!$B:$B,MATCH(A218,可选_寄存器汇总!$A:$A,0)),""))</f>
        <v/>
      </c>
      <c r="J218" s="21" t="str">
        <f t="shared" si="27"/>
        <v/>
      </c>
      <c r="K218" s="23" t="str">
        <f t="shared" si="28"/>
        <v/>
      </c>
      <c r="L218" s="24" t="str">
        <f t="shared" si="29"/>
        <v/>
      </c>
      <c r="M218" s="24" t="str">
        <f t="shared" si="30"/>
        <v/>
      </c>
      <c r="N218" s="24" t="str">
        <f t="shared" si="31"/>
        <v/>
      </c>
      <c r="O218" s="23" t="str">
        <f t="shared" si="32"/>
        <v/>
      </c>
      <c r="P218" s="23" t="str">
        <f t="shared" si="33"/>
        <v/>
      </c>
      <c r="Q218" s="26" t="str">
        <f t="shared" si="34"/>
        <v/>
      </c>
      <c r="R218" t="str">
        <f t="shared" si="35"/>
        <v/>
      </c>
    </row>
    <row r="219" spans="1:18">
      <c r="A219" s="6"/>
      <c r="B219" s="6"/>
      <c r="C219" s="6"/>
      <c r="D219" s="20"/>
      <c r="E219" s="7"/>
      <c r="F219" s="7"/>
      <c r="G219" s="7"/>
      <c r="H219" s="21"/>
      <c r="I219" s="21" t="str">
        <f>IF(A219="","",IFERROR(INDEX(可选_寄存器汇总!$B:$B,MATCH(A219,可选_寄存器汇总!$A:$A,0)),""))</f>
        <v/>
      </c>
      <c r="J219" s="21" t="str">
        <f t="shared" si="27"/>
        <v/>
      </c>
      <c r="K219" s="23" t="str">
        <f t="shared" si="28"/>
        <v/>
      </c>
      <c r="L219" s="24" t="str">
        <f t="shared" si="29"/>
        <v/>
      </c>
      <c r="M219" s="24" t="str">
        <f t="shared" si="30"/>
        <v/>
      </c>
      <c r="N219" s="24" t="str">
        <f t="shared" si="31"/>
        <v/>
      </c>
      <c r="O219" s="23" t="str">
        <f t="shared" si="32"/>
        <v/>
      </c>
      <c r="P219" s="23" t="str">
        <f t="shared" si="33"/>
        <v/>
      </c>
      <c r="Q219" s="26" t="str">
        <f t="shared" si="34"/>
        <v/>
      </c>
      <c r="R219" t="str">
        <f t="shared" si="35"/>
        <v/>
      </c>
    </row>
    <row r="220" spans="1:18">
      <c r="A220" s="6"/>
      <c r="B220" s="6"/>
      <c r="C220" s="6"/>
      <c r="D220" s="20"/>
      <c r="E220" s="7"/>
      <c r="F220" s="7"/>
      <c r="G220" s="7"/>
      <c r="H220" s="21"/>
      <c r="I220" s="21" t="str">
        <f>IF(A220="","",IFERROR(INDEX(可选_寄存器汇总!$B:$B,MATCH(A220,可选_寄存器汇总!$A:$A,0)),""))</f>
        <v/>
      </c>
      <c r="J220" s="21" t="str">
        <f t="shared" si="27"/>
        <v/>
      </c>
      <c r="K220" s="23" t="str">
        <f t="shared" si="28"/>
        <v/>
      </c>
      <c r="L220" s="24" t="str">
        <f t="shared" si="29"/>
        <v/>
      </c>
      <c r="M220" s="24" t="str">
        <f t="shared" si="30"/>
        <v/>
      </c>
      <c r="N220" s="24" t="str">
        <f t="shared" si="31"/>
        <v/>
      </c>
      <c r="O220" s="23" t="str">
        <f t="shared" si="32"/>
        <v/>
      </c>
      <c r="P220" s="23" t="str">
        <f t="shared" si="33"/>
        <v/>
      </c>
      <c r="Q220" s="26" t="str">
        <f t="shared" si="34"/>
        <v/>
      </c>
      <c r="R220" t="str">
        <f t="shared" si="35"/>
        <v/>
      </c>
    </row>
  </sheetData>
  <dataValidations count="1">
    <dataValidation type="list" allowBlank="1" sqref="H4:H220">
      <formula1>"RW,RO,WO,W1C,W0C,RSV"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showGridLines="0" workbookViewId="0">
      <selection activeCell="A1" sqref="A1"/>
    </sheetView>
  </sheetViews>
  <sheetFormatPr defaultColWidth="9" defaultRowHeight="15"/>
  <cols>
    <col min="1" max="1" width="16" customWidth="1"/>
    <col min="2" max="2" width="28" customWidth="1"/>
    <col min="3" max="3" width="20" customWidth="1"/>
    <col min="4" max="4" width="15" customWidth="1"/>
    <col min="5" max="6" width="8" customWidth="1"/>
    <col min="7" max="7" width="16" customWidth="1"/>
    <col min="8" max="8" width="10" customWidth="1"/>
    <col min="9" max="9" width="8" customWidth="1"/>
    <col min="10" max="10" width="14" customWidth="1"/>
    <col min="11" max="11" width="12" customWidth="1"/>
    <col min="12" max="12" width="34" customWidth="1"/>
    <col min="13" max="13" width="12" customWidth="1"/>
  </cols>
  <sheetData>
    <row r="1" ht="21" spans="1:1">
      <c r="A1" s="1" t="s">
        <v>81</v>
      </c>
    </row>
    <row r="2" spans="1:1">
      <c r="A2" s="2" t="s">
        <v>82</v>
      </c>
    </row>
    <row r="3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31.5" spans="1:13">
      <c r="A4" s="4" t="s">
        <v>56</v>
      </c>
      <c r="B4" s="4" t="s">
        <v>57</v>
      </c>
      <c r="C4" s="4" t="s">
        <v>58</v>
      </c>
      <c r="D4" s="4" t="s">
        <v>63</v>
      </c>
      <c r="E4" s="4" t="s">
        <v>64</v>
      </c>
      <c r="F4" s="4" t="s">
        <v>65</v>
      </c>
      <c r="G4" s="4" t="s">
        <v>60</v>
      </c>
      <c r="H4" s="4" t="s">
        <v>66</v>
      </c>
      <c r="I4" s="4" t="s">
        <v>67</v>
      </c>
      <c r="J4" s="4" t="s">
        <v>68</v>
      </c>
      <c r="K4" s="4" t="s">
        <v>69</v>
      </c>
      <c r="L4" s="4" t="s">
        <v>70</v>
      </c>
      <c r="M4" s="4" t="s">
        <v>71</v>
      </c>
    </row>
    <row r="5" ht="30" spans="1:13">
      <c r="A5" s="14" t="s">
        <v>73</v>
      </c>
      <c r="B5" s="14" t="s">
        <v>74</v>
      </c>
      <c r="C5" s="14" t="s">
        <v>74</v>
      </c>
      <c r="D5" s="14">
        <v>32</v>
      </c>
      <c r="E5" s="14">
        <v>7</v>
      </c>
      <c r="F5" s="14">
        <v>3</v>
      </c>
      <c r="G5" s="14">
        <v>15</v>
      </c>
      <c r="H5" s="12" t="s">
        <v>83</v>
      </c>
      <c r="I5" s="12">
        <v>5</v>
      </c>
      <c r="J5" s="12">
        <v>248</v>
      </c>
      <c r="K5" s="12">
        <v>31</v>
      </c>
      <c r="L5" s="12" t="s">
        <v>84</v>
      </c>
      <c r="M5" s="12" t="s">
        <v>85</v>
      </c>
    </row>
    <row r="6" ht="30" spans="1:13">
      <c r="A6" s="14" t="s">
        <v>73</v>
      </c>
      <c r="B6" s="14" t="s">
        <v>78</v>
      </c>
      <c r="C6" s="14" t="s">
        <v>78</v>
      </c>
      <c r="D6" s="14">
        <v>32</v>
      </c>
      <c r="E6" s="14">
        <v>2</v>
      </c>
      <c r="F6" s="14">
        <v>0</v>
      </c>
      <c r="G6" s="14">
        <v>4</v>
      </c>
      <c r="H6" s="12" t="s">
        <v>86</v>
      </c>
      <c r="I6" s="12">
        <v>3</v>
      </c>
      <c r="J6" s="12">
        <v>7</v>
      </c>
      <c r="K6" s="12">
        <v>7</v>
      </c>
      <c r="L6" s="12" t="s">
        <v>87</v>
      </c>
      <c r="M6" s="12" t="s">
        <v>85</v>
      </c>
    </row>
    <row r="7" spans="1:13">
      <c r="A7" s="14" t="s">
        <v>88</v>
      </c>
      <c r="B7" s="14" t="s">
        <v>89</v>
      </c>
      <c r="C7" s="14" t="s">
        <v>89</v>
      </c>
      <c r="D7" s="14">
        <v>33</v>
      </c>
      <c r="E7" s="14">
        <v>7</v>
      </c>
      <c r="F7" s="14">
        <v>4</v>
      </c>
      <c r="G7" s="14">
        <v>7</v>
      </c>
      <c r="H7" s="12" t="s">
        <v>90</v>
      </c>
      <c r="I7" s="12">
        <v>4</v>
      </c>
      <c r="J7" s="12">
        <v>240</v>
      </c>
      <c r="K7" s="12">
        <v>15</v>
      </c>
      <c r="L7" s="12" t="s">
        <v>91</v>
      </c>
      <c r="M7" s="12" t="s">
        <v>92</v>
      </c>
    </row>
    <row r="8" ht="30" spans="1:13">
      <c r="A8" s="14" t="s">
        <v>88</v>
      </c>
      <c r="B8" s="14" t="s">
        <v>93</v>
      </c>
      <c r="C8" s="14" t="s">
        <v>93</v>
      </c>
      <c r="D8" s="14">
        <v>33</v>
      </c>
      <c r="E8" s="14">
        <v>3</v>
      </c>
      <c r="F8" s="14">
        <v>0</v>
      </c>
      <c r="G8" s="14">
        <v>9</v>
      </c>
      <c r="H8" s="12" t="s">
        <v>94</v>
      </c>
      <c r="I8" s="12">
        <v>4</v>
      </c>
      <c r="J8" s="12">
        <v>15</v>
      </c>
      <c r="K8" s="12">
        <v>15</v>
      </c>
      <c r="L8" s="12" t="s">
        <v>95</v>
      </c>
      <c r="M8" s="12" t="s">
        <v>92</v>
      </c>
    </row>
    <row r="9" spans="1:13">
      <c r="A9" s="14" t="s">
        <v>96</v>
      </c>
      <c r="B9" s="14" t="s">
        <v>97</v>
      </c>
      <c r="C9" s="14" t="s">
        <v>97</v>
      </c>
      <c r="D9" s="14">
        <v>34</v>
      </c>
      <c r="E9" s="14">
        <v>5</v>
      </c>
      <c r="F9" s="14">
        <v>3</v>
      </c>
      <c r="G9" s="14">
        <v>3</v>
      </c>
      <c r="H9" s="12" t="s">
        <v>98</v>
      </c>
      <c r="I9" s="12">
        <v>3</v>
      </c>
      <c r="J9" s="12">
        <v>56</v>
      </c>
      <c r="K9" s="12">
        <v>7</v>
      </c>
      <c r="L9" s="12" t="s">
        <v>99</v>
      </c>
      <c r="M9" s="12" t="s">
        <v>100</v>
      </c>
    </row>
    <row r="10" spans="1:13">
      <c r="A10" s="14" t="s">
        <v>96</v>
      </c>
      <c r="B10" s="14" t="s">
        <v>101</v>
      </c>
      <c r="C10" s="14" t="s">
        <v>101</v>
      </c>
      <c r="D10" s="14">
        <v>34</v>
      </c>
      <c r="E10" s="14">
        <v>2</v>
      </c>
      <c r="F10" s="14">
        <v>0</v>
      </c>
      <c r="G10" s="14">
        <v>3</v>
      </c>
      <c r="H10" s="12" t="s">
        <v>86</v>
      </c>
      <c r="I10" s="12">
        <v>3</v>
      </c>
      <c r="J10" s="12">
        <v>7</v>
      </c>
      <c r="K10" s="12">
        <v>7</v>
      </c>
      <c r="L10" s="12" t="s">
        <v>102</v>
      </c>
      <c r="M10" s="12" t="s">
        <v>100</v>
      </c>
    </row>
    <row r="11" ht="30" spans="1:13">
      <c r="A11" s="14" t="s">
        <v>103</v>
      </c>
      <c r="B11" s="14" t="s">
        <v>104</v>
      </c>
      <c r="C11" s="14" t="s">
        <v>104</v>
      </c>
      <c r="D11" s="14">
        <v>35</v>
      </c>
      <c r="E11" s="14">
        <v>7</v>
      </c>
      <c r="F11" s="14">
        <v>5</v>
      </c>
      <c r="G11" s="14">
        <v>4</v>
      </c>
      <c r="H11" s="12" t="s">
        <v>105</v>
      </c>
      <c r="I11" s="12">
        <v>3</v>
      </c>
      <c r="J11" s="12">
        <v>224</v>
      </c>
      <c r="K11" s="12">
        <v>7</v>
      </c>
      <c r="L11" s="12" t="s">
        <v>106</v>
      </c>
      <c r="M11" s="12" t="s">
        <v>107</v>
      </c>
    </row>
    <row r="12" ht="30" spans="1:13">
      <c r="A12" s="14" t="s">
        <v>103</v>
      </c>
      <c r="B12" s="14" t="s">
        <v>108</v>
      </c>
      <c r="C12" s="14" t="s">
        <v>108</v>
      </c>
      <c r="D12" s="14">
        <v>35</v>
      </c>
      <c r="E12" s="14">
        <v>4</v>
      </c>
      <c r="F12" s="14">
        <v>4</v>
      </c>
      <c r="G12" s="14">
        <v>1</v>
      </c>
      <c r="H12" s="12" t="s">
        <v>109</v>
      </c>
      <c r="I12" s="12">
        <v>1</v>
      </c>
      <c r="J12" s="12">
        <v>16</v>
      </c>
      <c r="K12" s="12">
        <v>1</v>
      </c>
      <c r="L12" s="12" t="s">
        <v>110</v>
      </c>
      <c r="M12" s="12" t="s">
        <v>107</v>
      </c>
    </row>
    <row r="13" spans="1:13">
      <c r="A13" s="14" t="s">
        <v>103</v>
      </c>
      <c r="B13" s="14" t="s">
        <v>111</v>
      </c>
      <c r="C13" s="14" t="s">
        <v>111</v>
      </c>
      <c r="D13" s="14">
        <v>35</v>
      </c>
      <c r="E13" s="14">
        <v>3</v>
      </c>
      <c r="F13" s="14">
        <v>3</v>
      </c>
      <c r="G13" s="14">
        <v>1</v>
      </c>
      <c r="H13" s="12" t="s">
        <v>112</v>
      </c>
      <c r="I13" s="12">
        <v>1</v>
      </c>
      <c r="J13" s="12">
        <v>8</v>
      </c>
      <c r="K13" s="12">
        <v>1</v>
      </c>
      <c r="L13" s="12" t="s">
        <v>113</v>
      </c>
      <c r="M13" s="12" t="s">
        <v>107</v>
      </c>
    </row>
    <row r="14" spans="1:13">
      <c r="A14" s="14" t="s">
        <v>103</v>
      </c>
      <c r="B14" s="14" t="s">
        <v>114</v>
      </c>
      <c r="C14" s="14" t="s">
        <v>114</v>
      </c>
      <c r="D14" s="14">
        <v>35</v>
      </c>
      <c r="E14" s="14">
        <v>2</v>
      </c>
      <c r="F14" s="14">
        <v>2</v>
      </c>
      <c r="G14" s="14">
        <v>1</v>
      </c>
      <c r="H14" s="12" t="s">
        <v>115</v>
      </c>
      <c r="I14" s="12">
        <v>1</v>
      </c>
      <c r="J14" s="12">
        <v>4</v>
      </c>
      <c r="K14" s="12">
        <v>1</v>
      </c>
      <c r="L14" s="12" t="s">
        <v>116</v>
      </c>
      <c r="M14" s="12" t="s">
        <v>107</v>
      </c>
    </row>
    <row r="15" ht="30" spans="1:13">
      <c r="A15" s="14" t="s">
        <v>103</v>
      </c>
      <c r="B15" s="14" t="s">
        <v>117</v>
      </c>
      <c r="C15" s="14" t="s">
        <v>117</v>
      </c>
      <c r="D15" s="14">
        <v>35</v>
      </c>
      <c r="E15" s="14">
        <v>1</v>
      </c>
      <c r="F15" s="14">
        <v>1</v>
      </c>
      <c r="G15" s="14">
        <v>1</v>
      </c>
      <c r="H15" s="12" t="s">
        <v>118</v>
      </c>
      <c r="I15" s="12">
        <v>1</v>
      </c>
      <c r="J15" s="12">
        <v>2</v>
      </c>
      <c r="K15" s="12">
        <v>1</v>
      </c>
      <c r="L15" s="12" t="s">
        <v>119</v>
      </c>
      <c r="M15" s="12" t="s">
        <v>107</v>
      </c>
    </row>
    <row r="16" ht="30" spans="1:13">
      <c r="A16" s="14" t="s">
        <v>103</v>
      </c>
      <c r="B16" s="14" t="s">
        <v>120</v>
      </c>
      <c r="C16" s="14" t="s">
        <v>120</v>
      </c>
      <c r="D16" s="14">
        <v>35</v>
      </c>
      <c r="E16" s="14">
        <v>0</v>
      </c>
      <c r="F16" s="14">
        <v>0</v>
      </c>
      <c r="G16" s="14">
        <v>0</v>
      </c>
      <c r="H16" s="12" t="s">
        <v>121</v>
      </c>
      <c r="I16" s="12">
        <v>1</v>
      </c>
      <c r="J16" s="12">
        <v>1</v>
      </c>
      <c r="K16" s="12">
        <v>1</v>
      </c>
      <c r="L16" s="12" t="s">
        <v>122</v>
      </c>
      <c r="M16" s="12" t="s">
        <v>107</v>
      </c>
    </row>
    <row r="17" spans="1:13">
      <c r="A17" s="14" t="s">
        <v>123</v>
      </c>
      <c r="B17" s="14" t="s">
        <v>124</v>
      </c>
      <c r="C17" s="14" t="s">
        <v>124</v>
      </c>
      <c r="D17" s="14">
        <v>36</v>
      </c>
      <c r="E17" s="14">
        <v>7</v>
      </c>
      <c r="F17" s="14">
        <v>4</v>
      </c>
      <c r="G17" s="14">
        <v>7</v>
      </c>
      <c r="H17" s="12" t="s">
        <v>90</v>
      </c>
      <c r="I17" s="12">
        <v>4</v>
      </c>
      <c r="J17" s="12">
        <v>240</v>
      </c>
      <c r="K17" s="12">
        <v>15</v>
      </c>
      <c r="L17" s="12" t="s">
        <v>125</v>
      </c>
      <c r="M17" s="12" t="s">
        <v>126</v>
      </c>
    </row>
    <row r="18" spans="1:13">
      <c r="A18" s="14" t="s">
        <v>123</v>
      </c>
      <c r="B18" s="14" t="s">
        <v>127</v>
      </c>
      <c r="C18" s="14" t="s">
        <v>127</v>
      </c>
      <c r="D18" s="14">
        <v>36</v>
      </c>
      <c r="E18" s="14">
        <v>3</v>
      </c>
      <c r="F18" s="14">
        <v>2</v>
      </c>
      <c r="G18" s="14">
        <v>0</v>
      </c>
      <c r="H18" s="12" t="s">
        <v>128</v>
      </c>
      <c r="I18" s="12">
        <v>2</v>
      </c>
      <c r="J18" s="12">
        <v>12</v>
      </c>
      <c r="K18" s="12">
        <v>3</v>
      </c>
      <c r="L18" s="12" t="s">
        <v>129</v>
      </c>
      <c r="M18" s="12" t="s">
        <v>126</v>
      </c>
    </row>
    <row r="19" spans="1:13">
      <c r="A19" s="14" t="s">
        <v>123</v>
      </c>
      <c r="B19" s="14" t="s">
        <v>130</v>
      </c>
      <c r="C19" s="14" t="s">
        <v>130</v>
      </c>
      <c r="D19" s="14">
        <v>36</v>
      </c>
      <c r="E19" s="14">
        <v>1</v>
      </c>
      <c r="F19" s="14">
        <v>0</v>
      </c>
      <c r="G19" s="14">
        <v>0</v>
      </c>
      <c r="H19" s="12" t="s">
        <v>131</v>
      </c>
      <c r="I19" s="12">
        <v>2</v>
      </c>
      <c r="J19" s="12">
        <v>3</v>
      </c>
      <c r="K19" s="12">
        <v>3</v>
      </c>
      <c r="L19" s="12" t="s">
        <v>132</v>
      </c>
      <c r="M19" s="12" t="s">
        <v>126</v>
      </c>
    </row>
    <row r="20" spans="1:13">
      <c r="A20" s="14" t="s">
        <v>133</v>
      </c>
      <c r="B20" s="14" t="s">
        <v>134</v>
      </c>
      <c r="C20" s="14" t="s">
        <v>134</v>
      </c>
      <c r="D20" s="14">
        <v>37</v>
      </c>
      <c r="E20" s="14">
        <v>5</v>
      </c>
      <c r="F20" s="14">
        <v>3</v>
      </c>
      <c r="G20" s="14">
        <v>7</v>
      </c>
      <c r="H20" s="12" t="s">
        <v>98</v>
      </c>
      <c r="I20" s="12">
        <v>3</v>
      </c>
      <c r="J20" s="12">
        <v>56</v>
      </c>
      <c r="K20" s="12">
        <v>7</v>
      </c>
      <c r="L20" s="12" t="s">
        <v>135</v>
      </c>
      <c r="M20" s="12" t="s">
        <v>136</v>
      </c>
    </row>
    <row r="21" spans="1:13">
      <c r="A21" s="14" t="s">
        <v>133</v>
      </c>
      <c r="B21" s="14" t="s">
        <v>137</v>
      </c>
      <c r="C21" s="14" t="s">
        <v>137</v>
      </c>
      <c r="D21" s="14">
        <v>37</v>
      </c>
      <c r="E21" s="14">
        <v>2</v>
      </c>
      <c r="F21" s="14">
        <v>0</v>
      </c>
      <c r="G21" s="14">
        <v>7</v>
      </c>
      <c r="H21" s="12" t="s">
        <v>86</v>
      </c>
      <c r="I21" s="12">
        <v>3</v>
      </c>
      <c r="J21" s="12">
        <v>7</v>
      </c>
      <c r="K21" s="12">
        <v>7</v>
      </c>
      <c r="L21" s="12" t="s">
        <v>138</v>
      </c>
      <c r="M21" s="12" t="s">
        <v>136</v>
      </c>
    </row>
    <row r="22" spans="1:13">
      <c r="A22" s="14" t="s">
        <v>139</v>
      </c>
      <c r="B22" s="14" t="s">
        <v>140</v>
      </c>
      <c r="C22" s="14" t="s">
        <v>140</v>
      </c>
      <c r="D22" s="14">
        <v>38</v>
      </c>
      <c r="E22" s="14">
        <v>7</v>
      </c>
      <c r="F22" s="14">
        <v>4</v>
      </c>
      <c r="G22" s="14">
        <v>9</v>
      </c>
      <c r="H22" s="12" t="s">
        <v>90</v>
      </c>
      <c r="I22" s="12">
        <v>4</v>
      </c>
      <c r="J22" s="12">
        <v>240</v>
      </c>
      <c r="K22" s="12">
        <v>15</v>
      </c>
      <c r="L22" s="12" t="s">
        <v>141</v>
      </c>
      <c r="M22" s="12" t="s">
        <v>142</v>
      </c>
    </row>
    <row r="23" spans="1:13">
      <c r="A23" s="14" t="s">
        <v>139</v>
      </c>
      <c r="B23" s="14" t="s">
        <v>143</v>
      </c>
      <c r="C23" s="14" t="s">
        <v>143</v>
      </c>
      <c r="D23" s="14">
        <v>38</v>
      </c>
      <c r="E23" s="14">
        <v>3</v>
      </c>
      <c r="F23" s="14">
        <v>3</v>
      </c>
      <c r="G23" s="14">
        <v>0</v>
      </c>
      <c r="H23" s="12" t="s">
        <v>112</v>
      </c>
      <c r="I23" s="12">
        <v>1</v>
      </c>
      <c r="J23" s="12">
        <v>8</v>
      </c>
      <c r="K23" s="12">
        <v>1</v>
      </c>
      <c r="L23" s="12" t="s">
        <v>144</v>
      </c>
      <c r="M23" s="12" t="s">
        <v>142</v>
      </c>
    </row>
    <row r="24" spans="1:13">
      <c r="A24" s="14" t="s">
        <v>139</v>
      </c>
      <c r="B24" s="14" t="s">
        <v>145</v>
      </c>
      <c r="C24" s="14" t="s">
        <v>145</v>
      </c>
      <c r="D24" s="14">
        <v>38</v>
      </c>
      <c r="E24" s="14">
        <v>2</v>
      </c>
      <c r="F24" s="14">
        <v>0</v>
      </c>
      <c r="G24" s="14">
        <v>0</v>
      </c>
      <c r="H24" s="12" t="s">
        <v>86</v>
      </c>
      <c r="I24" s="12">
        <v>3</v>
      </c>
      <c r="J24" s="12">
        <v>7</v>
      </c>
      <c r="K24" s="12">
        <v>7</v>
      </c>
      <c r="L24" s="12" t="s">
        <v>146</v>
      </c>
      <c r="M24" s="12" t="s">
        <v>142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0"/>
  <sheetViews>
    <sheetView showGridLines="0" workbookViewId="0">
      <selection activeCell="A1" sqref="A1"/>
    </sheetView>
  </sheetViews>
  <sheetFormatPr defaultColWidth="9" defaultRowHeight="15"/>
  <cols>
    <col min="1" max="1" width="34" customWidth="1"/>
    <col min="2" max="2" width="20" customWidth="1"/>
    <col min="3" max="4" width="12" customWidth="1"/>
    <col min="5" max="5" width="10" customWidth="1"/>
    <col min="6" max="8" width="8" customWidth="1"/>
    <col min="9" max="9" width="12" customWidth="1"/>
    <col min="10" max="10" width="16" customWidth="1"/>
    <col min="11" max="11" width="12" customWidth="1"/>
    <col min="12" max="12" width="16" customWidth="1"/>
    <col min="13" max="13" width="10" customWidth="1"/>
    <col min="14" max="14" width="24" customWidth="1"/>
    <col min="15" max="15" width="20" customWidth="1"/>
    <col min="16" max="16" width="12" customWidth="1"/>
  </cols>
  <sheetData>
    <row r="1" ht="21" spans="1:1">
      <c r="A1" s="1" t="s">
        <v>147</v>
      </c>
    </row>
    <row r="2" spans="1:1">
      <c r="A2" s="2" t="s">
        <v>148</v>
      </c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31.5" spans="1:16">
      <c r="A4" s="4" t="s">
        <v>149</v>
      </c>
      <c r="B4" s="4" t="s">
        <v>58</v>
      </c>
      <c r="C4" s="4" t="s">
        <v>150</v>
      </c>
      <c r="D4" s="5" t="s">
        <v>71</v>
      </c>
      <c r="E4" s="5" t="s">
        <v>66</v>
      </c>
      <c r="F4" s="5" t="s">
        <v>64</v>
      </c>
      <c r="G4" s="5" t="s">
        <v>65</v>
      </c>
      <c r="H4" s="4" t="s">
        <v>67</v>
      </c>
      <c r="I4" s="4" t="s">
        <v>151</v>
      </c>
      <c r="J4" s="4" t="s">
        <v>60</v>
      </c>
      <c r="K4" s="4" t="s">
        <v>69</v>
      </c>
      <c r="L4" s="5" t="s">
        <v>56</v>
      </c>
      <c r="M4" s="5" t="s">
        <v>61</v>
      </c>
      <c r="N4" s="5" t="s">
        <v>62</v>
      </c>
      <c r="O4" s="4" t="s">
        <v>43</v>
      </c>
      <c r="P4" s="4" t="s">
        <v>72</v>
      </c>
    </row>
    <row r="5" ht="30" spans="1:16">
      <c r="A5" s="12" t="str">
        <f>IF(字段输入模板!P4="","",IFERROR(字段输入模板!P4,""))</f>
        <v>CFG_OSC2_IDAC_IBIAS&lt;7:3&gt;</v>
      </c>
      <c r="B5" s="12" t="str">
        <f>IF(字段输入模板!P4="","",IF(字段输入模板!C4="",IFERROR(字段输入模板!B4,""),IFERROR(字段输入模板!C4,"")))</f>
        <v>CFG_OSC2_IDAC_IBIAS</v>
      </c>
      <c r="C5" s="12">
        <f>IF(字段输入模板!P4="","",IFERROR(字段输入模板!I4,""))</f>
        <v>32</v>
      </c>
      <c r="D5" s="9" t="str">
        <f>IF(字段输入模板!P4="","",IFERROR(字段输入模板!Q4,""))</f>
        <v>0x20</v>
      </c>
      <c r="E5" s="9" t="str">
        <f>IF(字段输入模板!P4="","",IFERROR(字段输入模板!L4,""))</f>
        <v>&lt;7:3&gt;</v>
      </c>
      <c r="F5" s="9">
        <f>IF(字段输入模板!P4="","",IFERROR(字段输入模板!J4,""))</f>
        <v>7</v>
      </c>
      <c r="G5" s="9">
        <f>IF(字段输入模板!P4="","",IFERROR(字段输入模板!K4,""))</f>
        <v>3</v>
      </c>
      <c r="H5" s="12">
        <f>IF(字段输入模板!P4="","",IFERROR(字段输入模板!M4,""))</f>
        <v>5</v>
      </c>
      <c r="I5" s="12">
        <f>IF(字段输入模板!P4="","",IFERROR(字段输入模板!N4,""))</f>
        <v>248</v>
      </c>
      <c r="J5" s="12">
        <f>IF(字段输入模板!P4="","",IFERROR(字段输入模板!E4,""))</f>
        <v>15</v>
      </c>
      <c r="K5" s="12">
        <f>IF(字段输入模板!P4="","",IFERROR(字段输入模板!O4,""))</f>
        <v>31</v>
      </c>
      <c r="L5" s="9" t="str">
        <f>IF(字段输入模板!P4="","",IFERROR(字段输入模板!A4,""))</f>
        <v>REG20</v>
      </c>
      <c r="M5" s="9" t="str">
        <f>IF(字段输入模板!P4="","",IFERROR(字段输入模板!F4,""))</f>
        <v>RW</v>
      </c>
      <c r="N5" s="9" t="str">
        <f>IF(字段输入模板!P4="","",IFERROR(字段输入模板!G4,""))</f>
        <v>示例：5bit 字段</v>
      </c>
      <c r="O5" s="12">
        <f>IF(字段输入模板!P4="","",IFERROR(字段输入模板!H4,""))</f>
        <v>0</v>
      </c>
      <c r="P5" s="13" t="str">
        <f>IF(字段输入模板!P4="","",IFERROR(字段输入模板!R4,""))</f>
        <v>OK</v>
      </c>
    </row>
    <row r="6" spans="1:16">
      <c r="A6" s="12" t="str">
        <f>IF(字段输入模板!P5="","",IFERROR(字段输入模板!P5,""))</f>
        <v>CFG_OSC2_GMP_NUM&lt;2:0&gt;</v>
      </c>
      <c r="B6" s="12" t="str">
        <f>IF(字段输入模板!P5="","",IF(字段输入模板!C5="",IFERROR(字段输入模板!B5,""),IFERROR(字段输入模板!C5,"")))</f>
        <v>CFG_OSC2_GMP_NUM</v>
      </c>
      <c r="C6" s="12">
        <f>IF(字段输入模板!P5="","",IFERROR(字段输入模板!I5,""))</f>
        <v>32</v>
      </c>
      <c r="D6" s="9" t="str">
        <f>IF(字段输入模板!P5="","",IFERROR(字段输入模板!Q5,""))</f>
        <v>0x20</v>
      </c>
      <c r="E6" s="9" t="str">
        <f>IF(字段输入模板!P5="","",IFERROR(字段输入模板!L5,""))</f>
        <v>&lt;2:0&gt;</v>
      </c>
      <c r="F6" s="9">
        <f>IF(字段输入模板!P5="","",IFERROR(字段输入模板!J5,""))</f>
        <v>2</v>
      </c>
      <c r="G6" s="9">
        <f>IF(字段输入模板!P5="","",IFERROR(字段输入模板!K5,""))</f>
        <v>0</v>
      </c>
      <c r="H6" s="12">
        <f>IF(字段输入模板!P5="","",IFERROR(字段输入模板!M5,""))</f>
        <v>3</v>
      </c>
      <c r="I6" s="12">
        <f>IF(字段输入模板!P5="","",IFERROR(字段输入模板!N5,""))</f>
        <v>7</v>
      </c>
      <c r="J6" s="12">
        <f>IF(字段输入模板!P5="","",IFERROR(字段输入模板!E5,""))</f>
        <v>4</v>
      </c>
      <c r="K6" s="12">
        <f>IF(字段输入模板!P5="","",IFERROR(字段输入模板!O5,""))</f>
        <v>7</v>
      </c>
      <c r="L6" s="9" t="str">
        <f>IF(字段输入模板!P5="","",IFERROR(字段输入模板!A5,""))</f>
        <v>REG20</v>
      </c>
      <c r="M6" s="9" t="str">
        <f>IF(字段输入模板!P5="","",IFERROR(字段输入模板!F5,""))</f>
        <v>RW</v>
      </c>
      <c r="N6" s="9" t="str">
        <f>IF(字段输入模板!P5="","",IFERROR(字段输入模板!G5,""))</f>
        <v>示例：3bit 字段</v>
      </c>
      <c r="O6" s="12">
        <f>IF(字段输入模板!P5="","",IFERROR(字段输入模板!H5,""))</f>
        <v>0</v>
      </c>
      <c r="P6" s="13" t="str">
        <f>IF(字段输入模板!P5="","",IFERROR(字段输入模板!R5,""))</f>
        <v>OK</v>
      </c>
    </row>
    <row r="7" spans="1:16">
      <c r="A7" s="12" t="str">
        <f>IF(字段输入模板!P6="","",IFERROR(字段输入模板!P6,""))</f>
        <v/>
      </c>
      <c r="B7" s="12" t="str">
        <f>IF(字段输入模板!P6="","",IF(字段输入模板!C6="",IFERROR(字段输入模板!B6,""),IFERROR(字段输入模板!C6,"")))</f>
        <v/>
      </c>
      <c r="C7" s="12" t="str">
        <f>IF(字段输入模板!P6="","",IFERROR(字段输入模板!I6,""))</f>
        <v/>
      </c>
      <c r="D7" s="9" t="str">
        <f>IF(字段输入模板!P6="","",IFERROR(字段输入模板!Q6,""))</f>
        <v/>
      </c>
      <c r="E7" s="9" t="str">
        <f>IF(字段输入模板!P6="","",IFERROR(字段输入模板!L6,""))</f>
        <v/>
      </c>
      <c r="F7" s="9" t="str">
        <f>IF(字段输入模板!P6="","",IFERROR(字段输入模板!J6,""))</f>
        <v/>
      </c>
      <c r="G7" s="9" t="str">
        <f>IF(字段输入模板!P6="","",IFERROR(字段输入模板!K6,""))</f>
        <v/>
      </c>
      <c r="H7" s="12" t="str">
        <f>IF(字段输入模板!P6="","",IFERROR(字段输入模板!M6,""))</f>
        <v/>
      </c>
      <c r="I7" s="12" t="str">
        <f>IF(字段输入模板!P6="","",IFERROR(字段输入模板!N6,""))</f>
        <v/>
      </c>
      <c r="J7" s="12" t="str">
        <f>IF(字段输入模板!P6="","",IFERROR(字段输入模板!E6,""))</f>
        <v/>
      </c>
      <c r="K7" s="12" t="str">
        <f>IF(字段输入模板!P6="","",IFERROR(字段输入模板!O6,""))</f>
        <v/>
      </c>
      <c r="L7" s="9" t="str">
        <f>IF(字段输入模板!P6="","",IFERROR(字段输入模板!A6,""))</f>
        <v/>
      </c>
      <c r="M7" s="9" t="str">
        <f>IF(字段输入模板!P6="","",IFERROR(字段输入模板!F6,""))</f>
        <v/>
      </c>
      <c r="N7" s="9" t="str">
        <f>IF(字段输入模板!P6="","",IFERROR(字段输入模板!G6,""))</f>
        <v/>
      </c>
      <c r="O7" s="12" t="str">
        <f>IF(字段输入模板!P6="","",IFERROR(字段输入模板!H6,""))</f>
        <v/>
      </c>
      <c r="P7" s="13" t="str">
        <f>IF(字段输入模板!P6="","",IFERROR(字段输入模板!R6,""))</f>
        <v/>
      </c>
    </row>
    <row r="8" spans="1:16">
      <c r="A8" s="12" t="str">
        <f>IF(字段输入模板!P7="","",IFERROR(字段输入模板!P7,""))</f>
        <v/>
      </c>
      <c r="B8" s="12" t="str">
        <f>IF(字段输入模板!P7="","",IF(字段输入模板!C7="",IFERROR(字段输入模板!B7,""),IFERROR(字段输入模板!C7,"")))</f>
        <v/>
      </c>
      <c r="C8" s="12" t="str">
        <f>IF(字段输入模板!P7="","",IFERROR(字段输入模板!I7,""))</f>
        <v/>
      </c>
      <c r="D8" s="9" t="str">
        <f>IF(字段输入模板!P7="","",IFERROR(字段输入模板!Q7,""))</f>
        <v/>
      </c>
      <c r="E8" s="9" t="str">
        <f>IF(字段输入模板!P7="","",IFERROR(字段输入模板!L7,""))</f>
        <v/>
      </c>
      <c r="F8" s="9" t="str">
        <f>IF(字段输入模板!P7="","",IFERROR(字段输入模板!J7,""))</f>
        <v/>
      </c>
      <c r="G8" s="9" t="str">
        <f>IF(字段输入模板!P7="","",IFERROR(字段输入模板!K7,""))</f>
        <v/>
      </c>
      <c r="H8" s="12" t="str">
        <f>IF(字段输入模板!P7="","",IFERROR(字段输入模板!M7,""))</f>
        <v/>
      </c>
      <c r="I8" s="12" t="str">
        <f>IF(字段输入模板!P7="","",IFERROR(字段输入模板!N7,""))</f>
        <v/>
      </c>
      <c r="J8" s="12" t="str">
        <f>IF(字段输入模板!P7="","",IFERROR(字段输入模板!E7,""))</f>
        <v/>
      </c>
      <c r="K8" s="12" t="str">
        <f>IF(字段输入模板!P7="","",IFERROR(字段输入模板!O7,""))</f>
        <v/>
      </c>
      <c r="L8" s="9" t="str">
        <f>IF(字段输入模板!P7="","",IFERROR(字段输入模板!A7,""))</f>
        <v/>
      </c>
      <c r="M8" s="9" t="str">
        <f>IF(字段输入模板!P7="","",IFERROR(字段输入模板!F7,""))</f>
        <v/>
      </c>
      <c r="N8" s="9" t="str">
        <f>IF(字段输入模板!P7="","",IFERROR(字段输入模板!G7,""))</f>
        <v/>
      </c>
      <c r="O8" s="12" t="str">
        <f>IF(字段输入模板!P7="","",IFERROR(字段输入模板!H7,""))</f>
        <v/>
      </c>
      <c r="P8" s="13" t="str">
        <f>IF(字段输入模板!P7="","",IFERROR(字段输入模板!R7,""))</f>
        <v/>
      </c>
    </row>
    <row r="9" spans="1:16">
      <c r="A9" s="12" t="str">
        <f>IF(字段输入模板!P8="","",IFERROR(字段输入模板!P8,""))</f>
        <v/>
      </c>
      <c r="B9" s="12" t="str">
        <f>IF(字段输入模板!P8="","",IF(字段输入模板!C8="",IFERROR(字段输入模板!B8,""),IFERROR(字段输入模板!C8,"")))</f>
        <v/>
      </c>
      <c r="C9" s="12" t="str">
        <f>IF(字段输入模板!P8="","",IFERROR(字段输入模板!I8,""))</f>
        <v/>
      </c>
      <c r="D9" s="9" t="str">
        <f>IF(字段输入模板!P8="","",IFERROR(字段输入模板!Q8,""))</f>
        <v/>
      </c>
      <c r="E9" s="9" t="str">
        <f>IF(字段输入模板!P8="","",IFERROR(字段输入模板!L8,""))</f>
        <v/>
      </c>
      <c r="F9" s="9" t="str">
        <f>IF(字段输入模板!P8="","",IFERROR(字段输入模板!J8,""))</f>
        <v/>
      </c>
      <c r="G9" s="9" t="str">
        <f>IF(字段输入模板!P8="","",IFERROR(字段输入模板!K8,""))</f>
        <v/>
      </c>
      <c r="H9" s="12" t="str">
        <f>IF(字段输入模板!P8="","",IFERROR(字段输入模板!M8,""))</f>
        <v/>
      </c>
      <c r="I9" s="12" t="str">
        <f>IF(字段输入模板!P8="","",IFERROR(字段输入模板!N8,""))</f>
        <v/>
      </c>
      <c r="J9" s="12" t="str">
        <f>IF(字段输入模板!P8="","",IFERROR(字段输入模板!E8,""))</f>
        <v/>
      </c>
      <c r="K9" s="12" t="str">
        <f>IF(字段输入模板!P8="","",IFERROR(字段输入模板!O8,""))</f>
        <v/>
      </c>
      <c r="L9" s="9" t="str">
        <f>IF(字段输入模板!P8="","",IFERROR(字段输入模板!A8,""))</f>
        <v/>
      </c>
      <c r="M9" s="9" t="str">
        <f>IF(字段输入模板!P8="","",IFERROR(字段输入模板!F8,""))</f>
        <v/>
      </c>
      <c r="N9" s="9" t="str">
        <f>IF(字段输入模板!P8="","",IFERROR(字段输入模板!G8,""))</f>
        <v/>
      </c>
      <c r="O9" s="12" t="str">
        <f>IF(字段输入模板!P8="","",IFERROR(字段输入模板!H8,""))</f>
        <v/>
      </c>
      <c r="P9" s="13" t="str">
        <f>IF(字段输入模板!P8="","",IFERROR(字段输入模板!R8,""))</f>
        <v/>
      </c>
    </row>
    <row r="10" spans="1:16">
      <c r="A10" s="12" t="str">
        <f>IF(字段输入模板!P9="","",IFERROR(字段输入模板!P9,""))</f>
        <v/>
      </c>
      <c r="B10" s="12" t="str">
        <f>IF(字段输入模板!P9="","",IF(字段输入模板!C9="",IFERROR(字段输入模板!B9,""),IFERROR(字段输入模板!C9,"")))</f>
        <v/>
      </c>
      <c r="C10" s="12" t="str">
        <f>IF(字段输入模板!P9="","",IFERROR(字段输入模板!I9,""))</f>
        <v/>
      </c>
      <c r="D10" s="9" t="str">
        <f>IF(字段输入模板!P9="","",IFERROR(字段输入模板!Q9,""))</f>
        <v/>
      </c>
      <c r="E10" s="9" t="str">
        <f>IF(字段输入模板!P9="","",IFERROR(字段输入模板!L9,""))</f>
        <v/>
      </c>
      <c r="F10" s="9" t="str">
        <f>IF(字段输入模板!P9="","",IFERROR(字段输入模板!J9,""))</f>
        <v/>
      </c>
      <c r="G10" s="9" t="str">
        <f>IF(字段输入模板!P9="","",IFERROR(字段输入模板!K9,""))</f>
        <v/>
      </c>
      <c r="H10" s="12" t="str">
        <f>IF(字段输入模板!P9="","",IFERROR(字段输入模板!M9,""))</f>
        <v/>
      </c>
      <c r="I10" s="12" t="str">
        <f>IF(字段输入模板!P9="","",IFERROR(字段输入模板!N9,""))</f>
        <v/>
      </c>
      <c r="J10" s="12" t="str">
        <f>IF(字段输入模板!P9="","",IFERROR(字段输入模板!E9,""))</f>
        <v/>
      </c>
      <c r="K10" s="12" t="str">
        <f>IF(字段输入模板!P9="","",IFERROR(字段输入模板!O9,""))</f>
        <v/>
      </c>
      <c r="L10" s="9" t="str">
        <f>IF(字段输入模板!P9="","",IFERROR(字段输入模板!A9,""))</f>
        <v/>
      </c>
      <c r="M10" s="9" t="str">
        <f>IF(字段输入模板!P9="","",IFERROR(字段输入模板!F9,""))</f>
        <v/>
      </c>
      <c r="N10" s="9" t="str">
        <f>IF(字段输入模板!P9="","",IFERROR(字段输入模板!G9,""))</f>
        <v/>
      </c>
      <c r="O10" s="12" t="str">
        <f>IF(字段输入模板!P9="","",IFERROR(字段输入模板!H9,""))</f>
        <v/>
      </c>
      <c r="P10" s="13" t="str">
        <f>IF(字段输入模板!P9="","",IFERROR(字段输入模板!R9,""))</f>
        <v/>
      </c>
    </row>
    <row r="11" spans="1:16">
      <c r="A11" s="12" t="str">
        <f>IF(字段输入模板!P10="","",IFERROR(字段输入模板!P10,""))</f>
        <v/>
      </c>
      <c r="B11" s="12" t="str">
        <f>IF(字段输入模板!P10="","",IF(字段输入模板!C10="",IFERROR(字段输入模板!B10,""),IFERROR(字段输入模板!C10,"")))</f>
        <v/>
      </c>
      <c r="C11" s="12" t="str">
        <f>IF(字段输入模板!P10="","",IFERROR(字段输入模板!I10,""))</f>
        <v/>
      </c>
      <c r="D11" s="9" t="str">
        <f>IF(字段输入模板!P10="","",IFERROR(字段输入模板!Q10,""))</f>
        <v/>
      </c>
      <c r="E11" s="9" t="str">
        <f>IF(字段输入模板!P10="","",IFERROR(字段输入模板!L10,""))</f>
        <v/>
      </c>
      <c r="F11" s="9" t="str">
        <f>IF(字段输入模板!P10="","",IFERROR(字段输入模板!J10,""))</f>
        <v/>
      </c>
      <c r="G11" s="9" t="str">
        <f>IF(字段输入模板!P10="","",IFERROR(字段输入模板!K10,""))</f>
        <v/>
      </c>
      <c r="H11" s="12" t="str">
        <f>IF(字段输入模板!P10="","",IFERROR(字段输入模板!M10,""))</f>
        <v/>
      </c>
      <c r="I11" s="12" t="str">
        <f>IF(字段输入模板!P10="","",IFERROR(字段输入模板!N10,""))</f>
        <v/>
      </c>
      <c r="J11" s="12" t="str">
        <f>IF(字段输入模板!P10="","",IFERROR(字段输入模板!E10,""))</f>
        <v/>
      </c>
      <c r="K11" s="12" t="str">
        <f>IF(字段输入模板!P10="","",IFERROR(字段输入模板!O10,""))</f>
        <v/>
      </c>
      <c r="L11" s="9" t="str">
        <f>IF(字段输入模板!P10="","",IFERROR(字段输入模板!A10,""))</f>
        <v/>
      </c>
      <c r="M11" s="9" t="str">
        <f>IF(字段输入模板!P10="","",IFERROR(字段输入模板!F10,""))</f>
        <v/>
      </c>
      <c r="N11" s="9" t="str">
        <f>IF(字段输入模板!P10="","",IFERROR(字段输入模板!G10,""))</f>
        <v/>
      </c>
      <c r="O11" s="12" t="str">
        <f>IF(字段输入模板!P10="","",IFERROR(字段输入模板!H10,""))</f>
        <v/>
      </c>
      <c r="P11" s="13" t="str">
        <f>IF(字段输入模板!P10="","",IFERROR(字段输入模板!R10,""))</f>
        <v/>
      </c>
    </row>
    <row r="12" spans="1:16">
      <c r="A12" s="12" t="str">
        <f>IF(字段输入模板!P11="","",IFERROR(字段输入模板!P11,""))</f>
        <v/>
      </c>
      <c r="B12" s="12" t="str">
        <f>IF(字段输入模板!P11="","",IF(字段输入模板!C11="",IFERROR(字段输入模板!B11,""),IFERROR(字段输入模板!C11,"")))</f>
        <v/>
      </c>
      <c r="C12" s="12" t="str">
        <f>IF(字段输入模板!P11="","",IFERROR(字段输入模板!I11,""))</f>
        <v/>
      </c>
      <c r="D12" s="9" t="str">
        <f>IF(字段输入模板!P11="","",IFERROR(字段输入模板!Q11,""))</f>
        <v/>
      </c>
      <c r="E12" s="9" t="str">
        <f>IF(字段输入模板!P11="","",IFERROR(字段输入模板!L11,""))</f>
        <v/>
      </c>
      <c r="F12" s="9" t="str">
        <f>IF(字段输入模板!P11="","",IFERROR(字段输入模板!J11,""))</f>
        <v/>
      </c>
      <c r="G12" s="9" t="str">
        <f>IF(字段输入模板!P11="","",IFERROR(字段输入模板!K11,""))</f>
        <v/>
      </c>
      <c r="H12" s="12" t="str">
        <f>IF(字段输入模板!P11="","",IFERROR(字段输入模板!M11,""))</f>
        <v/>
      </c>
      <c r="I12" s="12" t="str">
        <f>IF(字段输入模板!P11="","",IFERROR(字段输入模板!N11,""))</f>
        <v/>
      </c>
      <c r="J12" s="12" t="str">
        <f>IF(字段输入模板!P11="","",IFERROR(字段输入模板!E11,""))</f>
        <v/>
      </c>
      <c r="K12" s="12" t="str">
        <f>IF(字段输入模板!P11="","",IFERROR(字段输入模板!O11,""))</f>
        <v/>
      </c>
      <c r="L12" s="9" t="str">
        <f>IF(字段输入模板!P11="","",IFERROR(字段输入模板!A11,""))</f>
        <v/>
      </c>
      <c r="M12" s="9" t="str">
        <f>IF(字段输入模板!P11="","",IFERROR(字段输入模板!F11,""))</f>
        <v/>
      </c>
      <c r="N12" s="9" t="str">
        <f>IF(字段输入模板!P11="","",IFERROR(字段输入模板!G11,""))</f>
        <v/>
      </c>
      <c r="O12" s="12" t="str">
        <f>IF(字段输入模板!P11="","",IFERROR(字段输入模板!H11,""))</f>
        <v/>
      </c>
      <c r="P12" s="13" t="str">
        <f>IF(字段输入模板!P11="","",IFERROR(字段输入模板!R11,""))</f>
        <v/>
      </c>
    </row>
    <row r="13" spans="1:16">
      <c r="A13" s="12" t="str">
        <f>IF(字段输入模板!P12="","",IFERROR(字段输入模板!P12,""))</f>
        <v/>
      </c>
      <c r="B13" s="12" t="str">
        <f>IF(字段输入模板!P12="","",IF(字段输入模板!C12="",IFERROR(字段输入模板!B12,""),IFERROR(字段输入模板!C12,"")))</f>
        <v/>
      </c>
      <c r="C13" s="12" t="str">
        <f>IF(字段输入模板!P12="","",IFERROR(字段输入模板!I12,""))</f>
        <v/>
      </c>
      <c r="D13" s="9" t="str">
        <f>IF(字段输入模板!P12="","",IFERROR(字段输入模板!Q12,""))</f>
        <v/>
      </c>
      <c r="E13" s="9" t="str">
        <f>IF(字段输入模板!P12="","",IFERROR(字段输入模板!L12,""))</f>
        <v/>
      </c>
      <c r="F13" s="9" t="str">
        <f>IF(字段输入模板!P12="","",IFERROR(字段输入模板!J12,""))</f>
        <v/>
      </c>
      <c r="G13" s="9" t="str">
        <f>IF(字段输入模板!P12="","",IFERROR(字段输入模板!K12,""))</f>
        <v/>
      </c>
      <c r="H13" s="12" t="str">
        <f>IF(字段输入模板!P12="","",IFERROR(字段输入模板!M12,""))</f>
        <v/>
      </c>
      <c r="I13" s="12" t="str">
        <f>IF(字段输入模板!P12="","",IFERROR(字段输入模板!N12,""))</f>
        <v/>
      </c>
      <c r="J13" s="12" t="str">
        <f>IF(字段输入模板!P12="","",IFERROR(字段输入模板!E12,""))</f>
        <v/>
      </c>
      <c r="K13" s="12" t="str">
        <f>IF(字段输入模板!P12="","",IFERROR(字段输入模板!O12,""))</f>
        <v/>
      </c>
      <c r="L13" s="9" t="str">
        <f>IF(字段输入模板!P12="","",IFERROR(字段输入模板!A12,""))</f>
        <v/>
      </c>
      <c r="M13" s="9" t="str">
        <f>IF(字段输入模板!P12="","",IFERROR(字段输入模板!F12,""))</f>
        <v/>
      </c>
      <c r="N13" s="9" t="str">
        <f>IF(字段输入模板!P12="","",IFERROR(字段输入模板!G12,""))</f>
        <v/>
      </c>
      <c r="O13" s="12" t="str">
        <f>IF(字段输入模板!P12="","",IFERROR(字段输入模板!H12,""))</f>
        <v/>
      </c>
      <c r="P13" s="13" t="str">
        <f>IF(字段输入模板!P12="","",IFERROR(字段输入模板!R12,""))</f>
        <v/>
      </c>
    </row>
    <row r="14" spans="1:16">
      <c r="A14" s="12" t="str">
        <f>IF(字段输入模板!P13="","",IFERROR(字段输入模板!P13,""))</f>
        <v/>
      </c>
      <c r="B14" s="12" t="str">
        <f>IF(字段输入模板!P13="","",IF(字段输入模板!C13="",IFERROR(字段输入模板!B13,""),IFERROR(字段输入模板!C13,"")))</f>
        <v/>
      </c>
      <c r="C14" s="12" t="str">
        <f>IF(字段输入模板!P13="","",IFERROR(字段输入模板!I13,""))</f>
        <v/>
      </c>
      <c r="D14" s="9" t="str">
        <f>IF(字段输入模板!P13="","",IFERROR(字段输入模板!Q13,""))</f>
        <v/>
      </c>
      <c r="E14" s="9" t="str">
        <f>IF(字段输入模板!P13="","",IFERROR(字段输入模板!L13,""))</f>
        <v/>
      </c>
      <c r="F14" s="9" t="str">
        <f>IF(字段输入模板!P13="","",IFERROR(字段输入模板!J13,""))</f>
        <v/>
      </c>
      <c r="G14" s="9" t="str">
        <f>IF(字段输入模板!P13="","",IFERROR(字段输入模板!K13,""))</f>
        <v/>
      </c>
      <c r="H14" s="12" t="str">
        <f>IF(字段输入模板!P13="","",IFERROR(字段输入模板!M13,""))</f>
        <v/>
      </c>
      <c r="I14" s="12" t="str">
        <f>IF(字段输入模板!P13="","",IFERROR(字段输入模板!N13,""))</f>
        <v/>
      </c>
      <c r="J14" s="12" t="str">
        <f>IF(字段输入模板!P13="","",IFERROR(字段输入模板!E13,""))</f>
        <v/>
      </c>
      <c r="K14" s="12" t="str">
        <f>IF(字段输入模板!P13="","",IFERROR(字段输入模板!O13,""))</f>
        <v/>
      </c>
      <c r="L14" s="9" t="str">
        <f>IF(字段输入模板!P13="","",IFERROR(字段输入模板!A13,""))</f>
        <v/>
      </c>
      <c r="M14" s="9" t="str">
        <f>IF(字段输入模板!P13="","",IFERROR(字段输入模板!F13,""))</f>
        <v/>
      </c>
      <c r="N14" s="9" t="str">
        <f>IF(字段输入模板!P13="","",IFERROR(字段输入模板!G13,""))</f>
        <v/>
      </c>
      <c r="O14" s="12" t="str">
        <f>IF(字段输入模板!P13="","",IFERROR(字段输入模板!H13,""))</f>
        <v/>
      </c>
      <c r="P14" s="13" t="str">
        <f>IF(字段输入模板!P13="","",IFERROR(字段输入模板!R13,""))</f>
        <v/>
      </c>
    </row>
    <row r="15" spans="1:16">
      <c r="A15" s="12" t="str">
        <f>IF(字段输入模板!P14="","",IFERROR(字段输入模板!P14,""))</f>
        <v/>
      </c>
      <c r="B15" s="12" t="str">
        <f>IF(字段输入模板!P14="","",IF(字段输入模板!C14="",IFERROR(字段输入模板!B14,""),IFERROR(字段输入模板!C14,"")))</f>
        <v/>
      </c>
      <c r="C15" s="12" t="str">
        <f>IF(字段输入模板!P14="","",IFERROR(字段输入模板!I14,""))</f>
        <v/>
      </c>
      <c r="D15" s="9" t="str">
        <f>IF(字段输入模板!P14="","",IFERROR(字段输入模板!Q14,""))</f>
        <v/>
      </c>
      <c r="E15" s="9" t="str">
        <f>IF(字段输入模板!P14="","",IFERROR(字段输入模板!L14,""))</f>
        <v/>
      </c>
      <c r="F15" s="9" t="str">
        <f>IF(字段输入模板!P14="","",IFERROR(字段输入模板!J14,""))</f>
        <v/>
      </c>
      <c r="G15" s="9" t="str">
        <f>IF(字段输入模板!P14="","",IFERROR(字段输入模板!K14,""))</f>
        <v/>
      </c>
      <c r="H15" s="12" t="str">
        <f>IF(字段输入模板!P14="","",IFERROR(字段输入模板!M14,""))</f>
        <v/>
      </c>
      <c r="I15" s="12" t="str">
        <f>IF(字段输入模板!P14="","",IFERROR(字段输入模板!N14,""))</f>
        <v/>
      </c>
      <c r="J15" s="12" t="str">
        <f>IF(字段输入模板!P14="","",IFERROR(字段输入模板!E14,""))</f>
        <v/>
      </c>
      <c r="K15" s="12" t="str">
        <f>IF(字段输入模板!P14="","",IFERROR(字段输入模板!O14,""))</f>
        <v/>
      </c>
      <c r="L15" s="9" t="str">
        <f>IF(字段输入模板!P14="","",IFERROR(字段输入模板!A14,""))</f>
        <v/>
      </c>
      <c r="M15" s="9" t="str">
        <f>IF(字段输入模板!P14="","",IFERROR(字段输入模板!F14,""))</f>
        <v/>
      </c>
      <c r="N15" s="9" t="str">
        <f>IF(字段输入模板!P14="","",IFERROR(字段输入模板!G14,""))</f>
        <v/>
      </c>
      <c r="O15" s="12" t="str">
        <f>IF(字段输入模板!P14="","",IFERROR(字段输入模板!H14,""))</f>
        <v/>
      </c>
      <c r="P15" s="13" t="str">
        <f>IF(字段输入模板!P14="","",IFERROR(字段输入模板!R14,""))</f>
        <v/>
      </c>
    </row>
    <row r="16" spans="1:16">
      <c r="A16" s="12" t="str">
        <f>IF(字段输入模板!P15="","",IFERROR(字段输入模板!P15,""))</f>
        <v/>
      </c>
      <c r="B16" s="12" t="str">
        <f>IF(字段输入模板!P15="","",IF(字段输入模板!C15="",IFERROR(字段输入模板!B15,""),IFERROR(字段输入模板!C15,"")))</f>
        <v/>
      </c>
      <c r="C16" s="12" t="str">
        <f>IF(字段输入模板!P15="","",IFERROR(字段输入模板!I15,""))</f>
        <v/>
      </c>
      <c r="D16" s="9" t="str">
        <f>IF(字段输入模板!P15="","",IFERROR(字段输入模板!Q15,""))</f>
        <v/>
      </c>
      <c r="E16" s="9" t="str">
        <f>IF(字段输入模板!P15="","",IFERROR(字段输入模板!L15,""))</f>
        <v/>
      </c>
      <c r="F16" s="9" t="str">
        <f>IF(字段输入模板!P15="","",IFERROR(字段输入模板!J15,""))</f>
        <v/>
      </c>
      <c r="G16" s="9" t="str">
        <f>IF(字段输入模板!P15="","",IFERROR(字段输入模板!K15,""))</f>
        <v/>
      </c>
      <c r="H16" s="12" t="str">
        <f>IF(字段输入模板!P15="","",IFERROR(字段输入模板!M15,""))</f>
        <v/>
      </c>
      <c r="I16" s="12" t="str">
        <f>IF(字段输入模板!P15="","",IFERROR(字段输入模板!N15,""))</f>
        <v/>
      </c>
      <c r="J16" s="12" t="str">
        <f>IF(字段输入模板!P15="","",IFERROR(字段输入模板!E15,""))</f>
        <v/>
      </c>
      <c r="K16" s="12" t="str">
        <f>IF(字段输入模板!P15="","",IFERROR(字段输入模板!O15,""))</f>
        <v/>
      </c>
      <c r="L16" s="9" t="str">
        <f>IF(字段输入模板!P15="","",IFERROR(字段输入模板!A15,""))</f>
        <v/>
      </c>
      <c r="M16" s="9" t="str">
        <f>IF(字段输入模板!P15="","",IFERROR(字段输入模板!F15,""))</f>
        <v/>
      </c>
      <c r="N16" s="9" t="str">
        <f>IF(字段输入模板!P15="","",IFERROR(字段输入模板!G15,""))</f>
        <v/>
      </c>
      <c r="O16" s="12" t="str">
        <f>IF(字段输入模板!P15="","",IFERROR(字段输入模板!H15,""))</f>
        <v/>
      </c>
      <c r="P16" s="13" t="str">
        <f>IF(字段输入模板!P15="","",IFERROR(字段输入模板!R15,""))</f>
        <v/>
      </c>
    </row>
    <row r="17" spans="1:16">
      <c r="A17" s="12" t="str">
        <f>IF(字段输入模板!P16="","",IFERROR(字段输入模板!P16,""))</f>
        <v/>
      </c>
      <c r="B17" s="12" t="str">
        <f>IF(字段输入模板!P16="","",IF(字段输入模板!C16="",IFERROR(字段输入模板!B16,""),IFERROR(字段输入模板!C16,"")))</f>
        <v/>
      </c>
      <c r="C17" s="12" t="str">
        <f>IF(字段输入模板!P16="","",IFERROR(字段输入模板!I16,""))</f>
        <v/>
      </c>
      <c r="D17" s="9" t="str">
        <f>IF(字段输入模板!P16="","",IFERROR(字段输入模板!Q16,""))</f>
        <v/>
      </c>
      <c r="E17" s="9" t="str">
        <f>IF(字段输入模板!P16="","",IFERROR(字段输入模板!L16,""))</f>
        <v/>
      </c>
      <c r="F17" s="9" t="str">
        <f>IF(字段输入模板!P16="","",IFERROR(字段输入模板!J16,""))</f>
        <v/>
      </c>
      <c r="G17" s="9" t="str">
        <f>IF(字段输入模板!P16="","",IFERROR(字段输入模板!K16,""))</f>
        <v/>
      </c>
      <c r="H17" s="12" t="str">
        <f>IF(字段输入模板!P16="","",IFERROR(字段输入模板!M16,""))</f>
        <v/>
      </c>
      <c r="I17" s="12" t="str">
        <f>IF(字段输入模板!P16="","",IFERROR(字段输入模板!N16,""))</f>
        <v/>
      </c>
      <c r="J17" s="12" t="str">
        <f>IF(字段输入模板!P16="","",IFERROR(字段输入模板!E16,""))</f>
        <v/>
      </c>
      <c r="K17" s="12" t="str">
        <f>IF(字段输入模板!P16="","",IFERROR(字段输入模板!O16,""))</f>
        <v/>
      </c>
      <c r="L17" s="9" t="str">
        <f>IF(字段输入模板!P16="","",IFERROR(字段输入模板!A16,""))</f>
        <v/>
      </c>
      <c r="M17" s="9" t="str">
        <f>IF(字段输入模板!P16="","",IFERROR(字段输入模板!F16,""))</f>
        <v/>
      </c>
      <c r="N17" s="9" t="str">
        <f>IF(字段输入模板!P16="","",IFERROR(字段输入模板!G16,""))</f>
        <v/>
      </c>
      <c r="O17" s="12" t="str">
        <f>IF(字段输入模板!P16="","",IFERROR(字段输入模板!H16,""))</f>
        <v/>
      </c>
      <c r="P17" s="13" t="str">
        <f>IF(字段输入模板!P16="","",IFERROR(字段输入模板!R16,""))</f>
        <v/>
      </c>
    </row>
    <row r="18" spans="1:16">
      <c r="A18" s="12" t="str">
        <f>IF(字段输入模板!P17="","",IFERROR(字段输入模板!P17,""))</f>
        <v/>
      </c>
      <c r="B18" s="12" t="str">
        <f>IF(字段输入模板!P17="","",IF(字段输入模板!C17="",IFERROR(字段输入模板!B17,""),IFERROR(字段输入模板!C17,"")))</f>
        <v/>
      </c>
      <c r="C18" s="12" t="str">
        <f>IF(字段输入模板!P17="","",IFERROR(字段输入模板!I17,""))</f>
        <v/>
      </c>
      <c r="D18" s="9" t="str">
        <f>IF(字段输入模板!P17="","",IFERROR(字段输入模板!Q17,""))</f>
        <v/>
      </c>
      <c r="E18" s="9" t="str">
        <f>IF(字段输入模板!P17="","",IFERROR(字段输入模板!L17,""))</f>
        <v/>
      </c>
      <c r="F18" s="9" t="str">
        <f>IF(字段输入模板!P17="","",IFERROR(字段输入模板!J17,""))</f>
        <v/>
      </c>
      <c r="G18" s="9" t="str">
        <f>IF(字段输入模板!P17="","",IFERROR(字段输入模板!K17,""))</f>
        <v/>
      </c>
      <c r="H18" s="12" t="str">
        <f>IF(字段输入模板!P17="","",IFERROR(字段输入模板!M17,""))</f>
        <v/>
      </c>
      <c r="I18" s="12" t="str">
        <f>IF(字段输入模板!P17="","",IFERROR(字段输入模板!N17,""))</f>
        <v/>
      </c>
      <c r="J18" s="12" t="str">
        <f>IF(字段输入模板!P17="","",IFERROR(字段输入模板!E17,""))</f>
        <v/>
      </c>
      <c r="K18" s="12" t="str">
        <f>IF(字段输入模板!P17="","",IFERROR(字段输入模板!O17,""))</f>
        <v/>
      </c>
      <c r="L18" s="9" t="str">
        <f>IF(字段输入模板!P17="","",IFERROR(字段输入模板!A17,""))</f>
        <v/>
      </c>
      <c r="M18" s="9" t="str">
        <f>IF(字段输入模板!P17="","",IFERROR(字段输入模板!F17,""))</f>
        <v/>
      </c>
      <c r="N18" s="9" t="str">
        <f>IF(字段输入模板!P17="","",IFERROR(字段输入模板!G17,""))</f>
        <v/>
      </c>
      <c r="O18" s="12" t="str">
        <f>IF(字段输入模板!P17="","",IFERROR(字段输入模板!H17,""))</f>
        <v/>
      </c>
      <c r="P18" s="13" t="str">
        <f>IF(字段输入模板!P17="","",IFERROR(字段输入模板!R17,""))</f>
        <v/>
      </c>
    </row>
    <row r="19" spans="1:16">
      <c r="A19" s="12" t="str">
        <f>IF(字段输入模板!P18="","",IFERROR(字段输入模板!P18,""))</f>
        <v/>
      </c>
      <c r="B19" s="12" t="str">
        <f>IF(字段输入模板!P18="","",IF(字段输入模板!C18="",IFERROR(字段输入模板!B18,""),IFERROR(字段输入模板!C18,"")))</f>
        <v/>
      </c>
      <c r="C19" s="12" t="str">
        <f>IF(字段输入模板!P18="","",IFERROR(字段输入模板!I18,""))</f>
        <v/>
      </c>
      <c r="D19" s="9" t="str">
        <f>IF(字段输入模板!P18="","",IFERROR(字段输入模板!Q18,""))</f>
        <v/>
      </c>
      <c r="E19" s="9" t="str">
        <f>IF(字段输入模板!P18="","",IFERROR(字段输入模板!L18,""))</f>
        <v/>
      </c>
      <c r="F19" s="9" t="str">
        <f>IF(字段输入模板!P18="","",IFERROR(字段输入模板!J18,""))</f>
        <v/>
      </c>
      <c r="G19" s="9" t="str">
        <f>IF(字段输入模板!P18="","",IFERROR(字段输入模板!K18,""))</f>
        <v/>
      </c>
      <c r="H19" s="12" t="str">
        <f>IF(字段输入模板!P18="","",IFERROR(字段输入模板!M18,""))</f>
        <v/>
      </c>
      <c r="I19" s="12" t="str">
        <f>IF(字段输入模板!P18="","",IFERROR(字段输入模板!N18,""))</f>
        <v/>
      </c>
      <c r="J19" s="12" t="str">
        <f>IF(字段输入模板!P18="","",IFERROR(字段输入模板!E18,""))</f>
        <v/>
      </c>
      <c r="K19" s="12" t="str">
        <f>IF(字段输入模板!P18="","",IFERROR(字段输入模板!O18,""))</f>
        <v/>
      </c>
      <c r="L19" s="9" t="str">
        <f>IF(字段输入模板!P18="","",IFERROR(字段输入模板!A18,""))</f>
        <v/>
      </c>
      <c r="M19" s="9" t="str">
        <f>IF(字段输入模板!P18="","",IFERROR(字段输入模板!F18,""))</f>
        <v/>
      </c>
      <c r="N19" s="9" t="str">
        <f>IF(字段输入模板!P18="","",IFERROR(字段输入模板!G18,""))</f>
        <v/>
      </c>
      <c r="O19" s="12" t="str">
        <f>IF(字段输入模板!P18="","",IFERROR(字段输入模板!H18,""))</f>
        <v/>
      </c>
      <c r="P19" s="13" t="str">
        <f>IF(字段输入模板!P18="","",IFERROR(字段输入模板!R18,""))</f>
        <v/>
      </c>
    </row>
    <row r="20" spans="1:16">
      <c r="A20" s="12" t="str">
        <f>IF(字段输入模板!P19="","",IFERROR(字段输入模板!P19,""))</f>
        <v/>
      </c>
      <c r="B20" s="12" t="str">
        <f>IF(字段输入模板!P19="","",IF(字段输入模板!C19="",IFERROR(字段输入模板!B19,""),IFERROR(字段输入模板!C19,"")))</f>
        <v/>
      </c>
      <c r="C20" s="12" t="str">
        <f>IF(字段输入模板!P19="","",IFERROR(字段输入模板!I19,""))</f>
        <v/>
      </c>
      <c r="D20" s="9" t="str">
        <f>IF(字段输入模板!P19="","",IFERROR(字段输入模板!Q19,""))</f>
        <v/>
      </c>
      <c r="E20" s="9" t="str">
        <f>IF(字段输入模板!P19="","",IFERROR(字段输入模板!L19,""))</f>
        <v/>
      </c>
      <c r="F20" s="9" t="str">
        <f>IF(字段输入模板!P19="","",IFERROR(字段输入模板!J19,""))</f>
        <v/>
      </c>
      <c r="G20" s="9" t="str">
        <f>IF(字段输入模板!P19="","",IFERROR(字段输入模板!K19,""))</f>
        <v/>
      </c>
      <c r="H20" s="12" t="str">
        <f>IF(字段输入模板!P19="","",IFERROR(字段输入模板!M19,""))</f>
        <v/>
      </c>
      <c r="I20" s="12" t="str">
        <f>IF(字段输入模板!P19="","",IFERROR(字段输入模板!N19,""))</f>
        <v/>
      </c>
      <c r="J20" s="12" t="str">
        <f>IF(字段输入模板!P19="","",IFERROR(字段输入模板!E19,""))</f>
        <v/>
      </c>
      <c r="K20" s="12" t="str">
        <f>IF(字段输入模板!P19="","",IFERROR(字段输入模板!O19,""))</f>
        <v/>
      </c>
      <c r="L20" s="9" t="str">
        <f>IF(字段输入模板!P19="","",IFERROR(字段输入模板!A19,""))</f>
        <v/>
      </c>
      <c r="M20" s="9" t="str">
        <f>IF(字段输入模板!P19="","",IFERROR(字段输入模板!F19,""))</f>
        <v/>
      </c>
      <c r="N20" s="9" t="str">
        <f>IF(字段输入模板!P19="","",IFERROR(字段输入模板!G19,""))</f>
        <v/>
      </c>
      <c r="O20" s="12" t="str">
        <f>IF(字段输入模板!P19="","",IFERROR(字段输入模板!H19,""))</f>
        <v/>
      </c>
      <c r="P20" s="13" t="str">
        <f>IF(字段输入模板!P19="","",IFERROR(字段输入模板!R19,""))</f>
        <v/>
      </c>
    </row>
    <row r="21" spans="1:16">
      <c r="A21" s="12" t="str">
        <f>IF(字段输入模板!P20="","",IFERROR(字段输入模板!P20,""))</f>
        <v/>
      </c>
      <c r="B21" s="12" t="str">
        <f>IF(字段输入模板!P20="","",IF(字段输入模板!C20="",IFERROR(字段输入模板!B20,""),IFERROR(字段输入模板!C20,"")))</f>
        <v/>
      </c>
      <c r="C21" s="12" t="str">
        <f>IF(字段输入模板!P20="","",IFERROR(字段输入模板!I20,""))</f>
        <v/>
      </c>
      <c r="D21" s="9" t="str">
        <f>IF(字段输入模板!P20="","",IFERROR(字段输入模板!Q20,""))</f>
        <v/>
      </c>
      <c r="E21" s="9" t="str">
        <f>IF(字段输入模板!P20="","",IFERROR(字段输入模板!L20,""))</f>
        <v/>
      </c>
      <c r="F21" s="9" t="str">
        <f>IF(字段输入模板!P20="","",IFERROR(字段输入模板!J20,""))</f>
        <v/>
      </c>
      <c r="G21" s="9" t="str">
        <f>IF(字段输入模板!P20="","",IFERROR(字段输入模板!K20,""))</f>
        <v/>
      </c>
      <c r="H21" s="12" t="str">
        <f>IF(字段输入模板!P20="","",IFERROR(字段输入模板!M20,""))</f>
        <v/>
      </c>
      <c r="I21" s="12" t="str">
        <f>IF(字段输入模板!P20="","",IFERROR(字段输入模板!N20,""))</f>
        <v/>
      </c>
      <c r="J21" s="12" t="str">
        <f>IF(字段输入模板!P20="","",IFERROR(字段输入模板!E20,""))</f>
        <v/>
      </c>
      <c r="K21" s="12" t="str">
        <f>IF(字段输入模板!P20="","",IFERROR(字段输入模板!O20,""))</f>
        <v/>
      </c>
      <c r="L21" s="9" t="str">
        <f>IF(字段输入模板!P20="","",IFERROR(字段输入模板!A20,""))</f>
        <v/>
      </c>
      <c r="M21" s="9" t="str">
        <f>IF(字段输入模板!P20="","",IFERROR(字段输入模板!F20,""))</f>
        <v/>
      </c>
      <c r="N21" s="9" t="str">
        <f>IF(字段输入模板!P20="","",IFERROR(字段输入模板!G20,""))</f>
        <v/>
      </c>
      <c r="O21" s="12" t="str">
        <f>IF(字段输入模板!P20="","",IFERROR(字段输入模板!H20,""))</f>
        <v/>
      </c>
      <c r="P21" s="13" t="str">
        <f>IF(字段输入模板!P20="","",IFERROR(字段输入模板!R20,""))</f>
        <v/>
      </c>
    </row>
    <row r="22" spans="1:16">
      <c r="A22" s="12" t="str">
        <f>IF(字段输入模板!P21="","",IFERROR(字段输入模板!P21,""))</f>
        <v/>
      </c>
      <c r="B22" s="12" t="str">
        <f>IF(字段输入模板!P21="","",IF(字段输入模板!C21="",IFERROR(字段输入模板!B21,""),IFERROR(字段输入模板!C21,"")))</f>
        <v/>
      </c>
      <c r="C22" s="12" t="str">
        <f>IF(字段输入模板!P21="","",IFERROR(字段输入模板!I21,""))</f>
        <v/>
      </c>
      <c r="D22" s="9" t="str">
        <f>IF(字段输入模板!P21="","",IFERROR(字段输入模板!Q21,""))</f>
        <v/>
      </c>
      <c r="E22" s="9" t="str">
        <f>IF(字段输入模板!P21="","",IFERROR(字段输入模板!L21,""))</f>
        <v/>
      </c>
      <c r="F22" s="9" t="str">
        <f>IF(字段输入模板!P21="","",IFERROR(字段输入模板!J21,""))</f>
        <v/>
      </c>
      <c r="G22" s="9" t="str">
        <f>IF(字段输入模板!P21="","",IFERROR(字段输入模板!K21,""))</f>
        <v/>
      </c>
      <c r="H22" s="12" t="str">
        <f>IF(字段输入模板!P21="","",IFERROR(字段输入模板!M21,""))</f>
        <v/>
      </c>
      <c r="I22" s="12" t="str">
        <f>IF(字段输入模板!P21="","",IFERROR(字段输入模板!N21,""))</f>
        <v/>
      </c>
      <c r="J22" s="12" t="str">
        <f>IF(字段输入模板!P21="","",IFERROR(字段输入模板!E21,""))</f>
        <v/>
      </c>
      <c r="K22" s="12" t="str">
        <f>IF(字段输入模板!P21="","",IFERROR(字段输入模板!O21,""))</f>
        <v/>
      </c>
      <c r="L22" s="9" t="str">
        <f>IF(字段输入模板!P21="","",IFERROR(字段输入模板!A21,""))</f>
        <v/>
      </c>
      <c r="M22" s="9" t="str">
        <f>IF(字段输入模板!P21="","",IFERROR(字段输入模板!F21,""))</f>
        <v/>
      </c>
      <c r="N22" s="9" t="str">
        <f>IF(字段输入模板!P21="","",IFERROR(字段输入模板!G21,""))</f>
        <v/>
      </c>
      <c r="O22" s="12" t="str">
        <f>IF(字段输入模板!P21="","",IFERROR(字段输入模板!H21,""))</f>
        <v/>
      </c>
      <c r="P22" s="13" t="str">
        <f>IF(字段输入模板!P21="","",IFERROR(字段输入模板!R21,""))</f>
        <v/>
      </c>
    </row>
    <row r="23" spans="1:16">
      <c r="A23" s="12" t="str">
        <f>IF(字段输入模板!P22="","",IFERROR(字段输入模板!P22,""))</f>
        <v/>
      </c>
      <c r="B23" s="12" t="str">
        <f>IF(字段输入模板!P22="","",IF(字段输入模板!C22="",IFERROR(字段输入模板!B22,""),IFERROR(字段输入模板!C22,"")))</f>
        <v/>
      </c>
      <c r="C23" s="12" t="str">
        <f>IF(字段输入模板!P22="","",IFERROR(字段输入模板!I22,""))</f>
        <v/>
      </c>
      <c r="D23" s="9" t="str">
        <f>IF(字段输入模板!P22="","",IFERROR(字段输入模板!Q22,""))</f>
        <v/>
      </c>
      <c r="E23" s="9" t="str">
        <f>IF(字段输入模板!P22="","",IFERROR(字段输入模板!L22,""))</f>
        <v/>
      </c>
      <c r="F23" s="9" t="str">
        <f>IF(字段输入模板!P22="","",IFERROR(字段输入模板!J22,""))</f>
        <v/>
      </c>
      <c r="G23" s="9" t="str">
        <f>IF(字段输入模板!P22="","",IFERROR(字段输入模板!K22,""))</f>
        <v/>
      </c>
      <c r="H23" s="12" t="str">
        <f>IF(字段输入模板!P22="","",IFERROR(字段输入模板!M22,""))</f>
        <v/>
      </c>
      <c r="I23" s="12" t="str">
        <f>IF(字段输入模板!P22="","",IFERROR(字段输入模板!N22,""))</f>
        <v/>
      </c>
      <c r="J23" s="12" t="str">
        <f>IF(字段输入模板!P22="","",IFERROR(字段输入模板!E22,""))</f>
        <v/>
      </c>
      <c r="K23" s="12" t="str">
        <f>IF(字段输入模板!P22="","",IFERROR(字段输入模板!O22,""))</f>
        <v/>
      </c>
      <c r="L23" s="9" t="str">
        <f>IF(字段输入模板!P22="","",IFERROR(字段输入模板!A22,""))</f>
        <v/>
      </c>
      <c r="M23" s="9" t="str">
        <f>IF(字段输入模板!P22="","",IFERROR(字段输入模板!F22,""))</f>
        <v/>
      </c>
      <c r="N23" s="9" t="str">
        <f>IF(字段输入模板!P22="","",IFERROR(字段输入模板!G22,""))</f>
        <v/>
      </c>
      <c r="O23" s="12" t="str">
        <f>IF(字段输入模板!P22="","",IFERROR(字段输入模板!H22,""))</f>
        <v/>
      </c>
      <c r="P23" s="13" t="str">
        <f>IF(字段输入模板!P22="","",IFERROR(字段输入模板!R22,""))</f>
        <v/>
      </c>
    </row>
    <row r="24" spans="1:16">
      <c r="A24" s="12" t="str">
        <f>IF(字段输入模板!P23="","",IFERROR(字段输入模板!P23,""))</f>
        <v/>
      </c>
      <c r="B24" s="12" t="str">
        <f>IF(字段输入模板!P23="","",IF(字段输入模板!C23="",IFERROR(字段输入模板!B23,""),IFERROR(字段输入模板!C23,"")))</f>
        <v/>
      </c>
      <c r="C24" s="12" t="str">
        <f>IF(字段输入模板!P23="","",IFERROR(字段输入模板!I23,""))</f>
        <v/>
      </c>
      <c r="D24" s="9" t="str">
        <f>IF(字段输入模板!P23="","",IFERROR(字段输入模板!Q23,""))</f>
        <v/>
      </c>
      <c r="E24" s="9" t="str">
        <f>IF(字段输入模板!P23="","",IFERROR(字段输入模板!L23,""))</f>
        <v/>
      </c>
      <c r="F24" s="9" t="str">
        <f>IF(字段输入模板!P23="","",IFERROR(字段输入模板!J23,""))</f>
        <v/>
      </c>
      <c r="G24" s="9" t="str">
        <f>IF(字段输入模板!P23="","",IFERROR(字段输入模板!K23,""))</f>
        <v/>
      </c>
      <c r="H24" s="12" t="str">
        <f>IF(字段输入模板!P23="","",IFERROR(字段输入模板!M23,""))</f>
        <v/>
      </c>
      <c r="I24" s="12" t="str">
        <f>IF(字段输入模板!P23="","",IFERROR(字段输入模板!N23,""))</f>
        <v/>
      </c>
      <c r="J24" s="12" t="str">
        <f>IF(字段输入模板!P23="","",IFERROR(字段输入模板!E23,""))</f>
        <v/>
      </c>
      <c r="K24" s="12" t="str">
        <f>IF(字段输入模板!P23="","",IFERROR(字段输入模板!O23,""))</f>
        <v/>
      </c>
      <c r="L24" s="9" t="str">
        <f>IF(字段输入模板!P23="","",IFERROR(字段输入模板!A23,""))</f>
        <v/>
      </c>
      <c r="M24" s="9" t="str">
        <f>IF(字段输入模板!P23="","",IFERROR(字段输入模板!F23,""))</f>
        <v/>
      </c>
      <c r="N24" s="9" t="str">
        <f>IF(字段输入模板!P23="","",IFERROR(字段输入模板!G23,""))</f>
        <v/>
      </c>
      <c r="O24" s="12" t="str">
        <f>IF(字段输入模板!P23="","",IFERROR(字段输入模板!H23,""))</f>
        <v/>
      </c>
      <c r="P24" s="13" t="str">
        <f>IF(字段输入模板!P23="","",IFERROR(字段输入模板!R23,""))</f>
        <v/>
      </c>
    </row>
    <row r="25" spans="1:16">
      <c r="A25" s="12" t="str">
        <f>IF(字段输入模板!P24="","",IFERROR(字段输入模板!P24,""))</f>
        <v/>
      </c>
      <c r="B25" s="12" t="str">
        <f>IF(字段输入模板!P24="","",IF(字段输入模板!C24="",IFERROR(字段输入模板!B24,""),IFERROR(字段输入模板!C24,"")))</f>
        <v/>
      </c>
      <c r="C25" s="12" t="str">
        <f>IF(字段输入模板!P24="","",IFERROR(字段输入模板!I24,""))</f>
        <v/>
      </c>
      <c r="D25" s="9" t="str">
        <f>IF(字段输入模板!P24="","",IFERROR(字段输入模板!Q24,""))</f>
        <v/>
      </c>
      <c r="E25" s="9" t="str">
        <f>IF(字段输入模板!P24="","",IFERROR(字段输入模板!L24,""))</f>
        <v/>
      </c>
      <c r="F25" s="9" t="str">
        <f>IF(字段输入模板!P24="","",IFERROR(字段输入模板!J24,""))</f>
        <v/>
      </c>
      <c r="G25" s="9" t="str">
        <f>IF(字段输入模板!P24="","",IFERROR(字段输入模板!K24,""))</f>
        <v/>
      </c>
      <c r="H25" s="12" t="str">
        <f>IF(字段输入模板!P24="","",IFERROR(字段输入模板!M24,""))</f>
        <v/>
      </c>
      <c r="I25" s="12" t="str">
        <f>IF(字段输入模板!P24="","",IFERROR(字段输入模板!N24,""))</f>
        <v/>
      </c>
      <c r="J25" s="12" t="str">
        <f>IF(字段输入模板!P24="","",IFERROR(字段输入模板!E24,""))</f>
        <v/>
      </c>
      <c r="K25" s="12" t="str">
        <f>IF(字段输入模板!P24="","",IFERROR(字段输入模板!O24,""))</f>
        <v/>
      </c>
      <c r="L25" s="9" t="str">
        <f>IF(字段输入模板!P24="","",IFERROR(字段输入模板!A24,""))</f>
        <v/>
      </c>
      <c r="M25" s="9" t="str">
        <f>IF(字段输入模板!P24="","",IFERROR(字段输入模板!F24,""))</f>
        <v/>
      </c>
      <c r="N25" s="9" t="str">
        <f>IF(字段输入模板!P24="","",IFERROR(字段输入模板!G24,""))</f>
        <v/>
      </c>
      <c r="O25" s="12" t="str">
        <f>IF(字段输入模板!P24="","",IFERROR(字段输入模板!H24,""))</f>
        <v/>
      </c>
      <c r="P25" s="13" t="str">
        <f>IF(字段输入模板!P24="","",IFERROR(字段输入模板!R24,""))</f>
        <v/>
      </c>
    </row>
    <row r="26" spans="1:16">
      <c r="A26" s="12" t="str">
        <f>IF(字段输入模板!P25="","",IFERROR(字段输入模板!P25,""))</f>
        <v/>
      </c>
      <c r="B26" s="12" t="str">
        <f>IF(字段输入模板!P25="","",IF(字段输入模板!C25="",IFERROR(字段输入模板!B25,""),IFERROR(字段输入模板!C25,"")))</f>
        <v/>
      </c>
      <c r="C26" s="12" t="str">
        <f>IF(字段输入模板!P25="","",IFERROR(字段输入模板!I25,""))</f>
        <v/>
      </c>
      <c r="D26" s="9" t="str">
        <f>IF(字段输入模板!P25="","",IFERROR(字段输入模板!Q25,""))</f>
        <v/>
      </c>
      <c r="E26" s="9" t="str">
        <f>IF(字段输入模板!P25="","",IFERROR(字段输入模板!L25,""))</f>
        <v/>
      </c>
      <c r="F26" s="9" t="str">
        <f>IF(字段输入模板!P25="","",IFERROR(字段输入模板!J25,""))</f>
        <v/>
      </c>
      <c r="G26" s="9" t="str">
        <f>IF(字段输入模板!P25="","",IFERROR(字段输入模板!K25,""))</f>
        <v/>
      </c>
      <c r="H26" s="12" t="str">
        <f>IF(字段输入模板!P25="","",IFERROR(字段输入模板!M25,""))</f>
        <v/>
      </c>
      <c r="I26" s="12" t="str">
        <f>IF(字段输入模板!P25="","",IFERROR(字段输入模板!N25,""))</f>
        <v/>
      </c>
      <c r="J26" s="12" t="str">
        <f>IF(字段输入模板!P25="","",IFERROR(字段输入模板!E25,""))</f>
        <v/>
      </c>
      <c r="K26" s="12" t="str">
        <f>IF(字段输入模板!P25="","",IFERROR(字段输入模板!O25,""))</f>
        <v/>
      </c>
      <c r="L26" s="9" t="str">
        <f>IF(字段输入模板!P25="","",IFERROR(字段输入模板!A25,""))</f>
        <v/>
      </c>
      <c r="M26" s="9" t="str">
        <f>IF(字段输入模板!P25="","",IFERROR(字段输入模板!F25,""))</f>
        <v/>
      </c>
      <c r="N26" s="9" t="str">
        <f>IF(字段输入模板!P25="","",IFERROR(字段输入模板!G25,""))</f>
        <v/>
      </c>
      <c r="O26" s="12" t="str">
        <f>IF(字段输入模板!P25="","",IFERROR(字段输入模板!H25,""))</f>
        <v/>
      </c>
      <c r="P26" s="13" t="str">
        <f>IF(字段输入模板!P25="","",IFERROR(字段输入模板!R25,""))</f>
        <v/>
      </c>
    </row>
    <row r="27" spans="1:16">
      <c r="A27" s="12" t="str">
        <f>IF(字段输入模板!P26="","",IFERROR(字段输入模板!P26,""))</f>
        <v/>
      </c>
      <c r="B27" s="12" t="str">
        <f>IF(字段输入模板!P26="","",IF(字段输入模板!C26="",IFERROR(字段输入模板!B26,""),IFERROR(字段输入模板!C26,"")))</f>
        <v/>
      </c>
      <c r="C27" s="12" t="str">
        <f>IF(字段输入模板!P26="","",IFERROR(字段输入模板!I26,""))</f>
        <v/>
      </c>
      <c r="D27" s="9" t="str">
        <f>IF(字段输入模板!P26="","",IFERROR(字段输入模板!Q26,""))</f>
        <v/>
      </c>
      <c r="E27" s="9" t="str">
        <f>IF(字段输入模板!P26="","",IFERROR(字段输入模板!L26,""))</f>
        <v/>
      </c>
      <c r="F27" s="9" t="str">
        <f>IF(字段输入模板!P26="","",IFERROR(字段输入模板!J26,""))</f>
        <v/>
      </c>
      <c r="G27" s="9" t="str">
        <f>IF(字段输入模板!P26="","",IFERROR(字段输入模板!K26,""))</f>
        <v/>
      </c>
      <c r="H27" s="12" t="str">
        <f>IF(字段输入模板!P26="","",IFERROR(字段输入模板!M26,""))</f>
        <v/>
      </c>
      <c r="I27" s="12" t="str">
        <f>IF(字段输入模板!P26="","",IFERROR(字段输入模板!N26,""))</f>
        <v/>
      </c>
      <c r="J27" s="12" t="str">
        <f>IF(字段输入模板!P26="","",IFERROR(字段输入模板!E26,""))</f>
        <v/>
      </c>
      <c r="K27" s="12" t="str">
        <f>IF(字段输入模板!P26="","",IFERROR(字段输入模板!O26,""))</f>
        <v/>
      </c>
      <c r="L27" s="9" t="str">
        <f>IF(字段输入模板!P26="","",IFERROR(字段输入模板!A26,""))</f>
        <v/>
      </c>
      <c r="M27" s="9" t="str">
        <f>IF(字段输入模板!P26="","",IFERROR(字段输入模板!F26,""))</f>
        <v/>
      </c>
      <c r="N27" s="9" t="str">
        <f>IF(字段输入模板!P26="","",IFERROR(字段输入模板!G26,""))</f>
        <v/>
      </c>
      <c r="O27" s="12" t="str">
        <f>IF(字段输入模板!P26="","",IFERROR(字段输入模板!H26,""))</f>
        <v/>
      </c>
      <c r="P27" s="13" t="str">
        <f>IF(字段输入模板!P26="","",IFERROR(字段输入模板!R26,""))</f>
        <v/>
      </c>
    </row>
    <row r="28" spans="1:16">
      <c r="A28" s="12" t="str">
        <f>IF(字段输入模板!P27="","",IFERROR(字段输入模板!P27,""))</f>
        <v/>
      </c>
      <c r="B28" s="12" t="str">
        <f>IF(字段输入模板!P27="","",IF(字段输入模板!C27="",IFERROR(字段输入模板!B27,""),IFERROR(字段输入模板!C27,"")))</f>
        <v/>
      </c>
      <c r="C28" s="12" t="str">
        <f>IF(字段输入模板!P27="","",IFERROR(字段输入模板!I27,""))</f>
        <v/>
      </c>
      <c r="D28" s="9" t="str">
        <f>IF(字段输入模板!P27="","",IFERROR(字段输入模板!Q27,""))</f>
        <v/>
      </c>
      <c r="E28" s="9" t="str">
        <f>IF(字段输入模板!P27="","",IFERROR(字段输入模板!L27,""))</f>
        <v/>
      </c>
      <c r="F28" s="9" t="str">
        <f>IF(字段输入模板!P27="","",IFERROR(字段输入模板!J27,""))</f>
        <v/>
      </c>
      <c r="G28" s="9" t="str">
        <f>IF(字段输入模板!P27="","",IFERROR(字段输入模板!K27,""))</f>
        <v/>
      </c>
      <c r="H28" s="12" t="str">
        <f>IF(字段输入模板!P27="","",IFERROR(字段输入模板!M27,""))</f>
        <v/>
      </c>
      <c r="I28" s="12" t="str">
        <f>IF(字段输入模板!P27="","",IFERROR(字段输入模板!N27,""))</f>
        <v/>
      </c>
      <c r="J28" s="12" t="str">
        <f>IF(字段输入模板!P27="","",IFERROR(字段输入模板!E27,""))</f>
        <v/>
      </c>
      <c r="K28" s="12" t="str">
        <f>IF(字段输入模板!P27="","",IFERROR(字段输入模板!O27,""))</f>
        <v/>
      </c>
      <c r="L28" s="9" t="str">
        <f>IF(字段输入模板!P27="","",IFERROR(字段输入模板!A27,""))</f>
        <v/>
      </c>
      <c r="M28" s="9" t="str">
        <f>IF(字段输入模板!P27="","",IFERROR(字段输入模板!F27,""))</f>
        <v/>
      </c>
      <c r="N28" s="9" t="str">
        <f>IF(字段输入模板!P27="","",IFERROR(字段输入模板!G27,""))</f>
        <v/>
      </c>
      <c r="O28" s="12" t="str">
        <f>IF(字段输入模板!P27="","",IFERROR(字段输入模板!H27,""))</f>
        <v/>
      </c>
      <c r="P28" s="13" t="str">
        <f>IF(字段输入模板!P27="","",IFERROR(字段输入模板!R27,""))</f>
        <v/>
      </c>
    </row>
    <row r="29" spans="1:16">
      <c r="A29" s="12" t="str">
        <f>IF(字段输入模板!P28="","",IFERROR(字段输入模板!P28,""))</f>
        <v/>
      </c>
      <c r="B29" s="12" t="str">
        <f>IF(字段输入模板!P28="","",IF(字段输入模板!C28="",IFERROR(字段输入模板!B28,""),IFERROR(字段输入模板!C28,"")))</f>
        <v/>
      </c>
      <c r="C29" s="12" t="str">
        <f>IF(字段输入模板!P28="","",IFERROR(字段输入模板!I28,""))</f>
        <v/>
      </c>
      <c r="D29" s="9" t="str">
        <f>IF(字段输入模板!P28="","",IFERROR(字段输入模板!Q28,""))</f>
        <v/>
      </c>
      <c r="E29" s="9" t="str">
        <f>IF(字段输入模板!P28="","",IFERROR(字段输入模板!L28,""))</f>
        <v/>
      </c>
      <c r="F29" s="9" t="str">
        <f>IF(字段输入模板!P28="","",IFERROR(字段输入模板!J28,""))</f>
        <v/>
      </c>
      <c r="G29" s="9" t="str">
        <f>IF(字段输入模板!P28="","",IFERROR(字段输入模板!K28,""))</f>
        <v/>
      </c>
      <c r="H29" s="12" t="str">
        <f>IF(字段输入模板!P28="","",IFERROR(字段输入模板!M28,""))</f>
        <v/>
      </c>
      <c r="I29" s="12" t="str">
        <f>IF(字段输入模板!P28="","",IFERROR(字段输入模板!N28,""))</f>
        <v/>
      </c>
      <c r="J29" s="12" t="str">
        <f>IF(字段输入模板!P28="","",IFERROR(字段输入模板!E28,""))</f>
        <v/>
      </c>
      <c r="K29" s="12" t="str">
        <f>IF(字段输入模板!P28="","",IFERROR(字段输入模板!O28,""))</f>
        <v/>
      </c>
      <c r="L29" s="9" t="str">
        <f>IF(字段输入模板!P28="","",IFERROR(字段输入模板!A28,""))</f>
        <v/>
      </c>
      <c r="M29" s="9" t="str">
        <f>IF(字段输入模板!P28="","",IFERROR(字段输入模板!F28,""))</f>
        <v/>
      </c>
      <c r="N29" s="9" t="str">
        <f>IF(字段输入模板!P28="","",IFERROR(字段输入模板!G28,""))</f>
        <v/>
      </c>
      <c r="O29" s="12" t="str">
        <f>IF(字段输入模板!P28="","",IFERROR(字段输入模板!H28,""))</f>
        <v/>
      </c>
      <c r="P29" s="13" t="str">
        <f>IF(字段输入模板!P28="","",IFERROR(字段输入模板!R28,""))</f>
        <v/>
      </c>
    </row>
    <row r="30" spans="1:16">
      <c r="A30" s="12" t="str">
        <f>IF(字段输入模板!P29="","",IFERROR(字段输入模板!P29,""))</f>
        <v/>
      </c>
      <c r="B30" s="12" t="str">
        <f>IF(字段输入模板!P29="","",IF(字段输入模板!C29="",IFERROR(字段输入模板!B29,""),IFERROR(字段输入模板!C29,"")))</f>
        <v/>
      </c>
      <c r="C30" s="12" t="str">
        <f>IF(字段输入模板!P29="","",IFERROR(字段输入模板!I29,""))</f>
        <v/>
      </c>
      <c r="D30" s="9" t="str">
        <f>IF(字段输入模板!P29="","",IFERROR(字段输入模板!Q29,""))</f>
        <v/>
      </c>
      <c r="E30" s="9" t="str">
        <f>IF(字段输入模板!P29="","",IFERROR(字段输入模板!L29,""))</f>
        <v/>
      </c>
      <c r="F30" s="9" t="str">
        <f>IF(字段输入模板!P29="","",IFERROR(字段输入模板!J29,""))</f>
        <v/>
      </c>
      <c r="G30" s="9" t="str">
        <f>IF(字段输入模板!P29="","",IFERROR(字段输入模板!K29,""))</f>
        <v/>
      </c>
      <c r="H30" s="12" t="str">
        <f>IF(字段输入模板!P29="","",IFERROR(字段输入模板!M29,""))</f>
        <v/>
      </c>
      <c r="I30" s="12" t="str">
        <f>IF(字段输入模板!P29="","",IFERROR(字段输入模板!N29,""))</f>
        <v/>
      </c>
      <c r="J30" s="12" t="str">
        <f>IF(字段输入模板!P29="","",IFERROR(字段输入模板!E29,""))</f>
        <v/>
      </c>
      <c r="K30" s="12" t="str">
        <f>IF(字段输入模板!P29="","",IFERROR(字段输入模板!O29,""))</f>
        <v/>
      </c>
      <c r="L30" s="9" t="str">
        <f>IF(字段输入模板!P29="","",IFERROR(字段输入模板!A29,""))</f>
        <v/>
      </c>
      <c r="M30" s="9" t="str">
        <f>IF(字段输入模板!P29="","",IFERROR(字段输入模板!F29,""))</f>
        <v/>
      </c>
      <c r="N30" s="9" t="str">
        <f>IF(字段输入模板!P29="","",IFERROR(字段输入模板!G29,""))</f>
        <v/>
      </c>
      <c r="O30" s="12" t="str">
        <f>IF(字段输入模板!P29="","",IFERROR(字段输入模板!H29,""))</f>
        <v/>
      </c>
      <c r="P30" s="13" t="str">
        <f>IF(字段输入模板!P29="","",IFERROR(字段输入模板!R29,""))</f>
        <v/>
      </c>
    </row>
    <row r="31" spans="1:16">
      <c r="A31" s="12" t="str">
        <f>IF(字段输入模板!P30="","",IFERROR(字段输入模板!P30,""))</f>
        <v/>
      </c>
      <c r="B31" s="12" t="str">
        <f>IF(字段输入模板!P30="","",IF(字段输入模板!C30="",IFERROR(字段输入模板!B30,""),IFERROR(字段输入模板!C30,"")))</f>
        <v/>
      </c>
      <c r="C31" s="12" t="str">
        <f>IF(字段输入模板!P30="","",IFERROR(字段输入模板!I30,""))</f>
        <v/>
      </c>
      <c r="D31" s="9" t="str">
        <f>IF(字段输入模板!P30="","",IFERROR(字段输入模板!Q30,""))</f>
        <v/>
      </c>
      <c r="E31" s="9" t="str">
        <f>IF(字段输入模板!P30="","",IFERROR(字段输入模板!L30,""))</f>
        <v/>
      </c>
      <c r="F31" s="9" t="str">
        <f>IF(字段输入模板!P30="","",IFERROR(字段输入模板!J30,""))</f>
        <v/>
      </c>
      <c r="G31" s="9" t="str">
        <f>IF(字段输入模板!P30="","",IFERROR(字段输入模板!K30,""))</f>
        <v/>
      </c>
      <c r="H31" s="12" t="str">
        <f>IF(字段输入模板!P30="","",IFERROR(字段输入模板!M30,""))</f>
        <v/>
      </c>
      <c r="I31" s="12" t="str">
        <f>IF(字段输入模板!P30="","",IFERROR(字段输入模板!N30,""))</f>
        <v/>
      </c>
      <c r="J31" s="12" t="str">
        <f>IF(字段输入模板!P30="","",IFERROR(字段输入模板!E30,""))</f>
        <v/>
      </c>
      <c r="K31" s="12" t="str">
        <f>IF(字段输入模板!P30="","",IFERROR(字段输入模板!O30,""))</f>
        <v/>
      </c>
      <c r="L31" s="9" t="str">
        <f>IF(字段输入模板!P30="","",IFERROR(字段输入模板!A30,""))</f>
        <v/>
      </c>
      <c r="M31" s="9" t="str">
        <f>IF(字段输入模板!P30="","",IFERROR(字段输入模板!F30,""))</f>
        <v/>
      </c>
      <c r="N31" s="9" t="str">
        <f>IF(字段输入模板!P30="","",IFERROR(字段输入模板!G30,""))</f>
        <v/>
      </c>
      <c r="O31" s="12" t="str">
        <f>IF(字段输入模板!P30="","",IFERROR(字段输入模板!H30,""))</f>
        <v/>
      </c>
      <c r="P31" s="13" t="str">
        <f>IF(字段输入模板!P30="","",IFERROR(字段输入模板!R30,""))</f>
        <v/>
      </c>
    </row>
    <row r="32" spans="1:16">
      <c r="A32" s="12" t="str">
        <f>IF(字段输入模板!P31="","",IFERROR(字段输入模板!P31,""))</f>
        <v/>
      </c>
      <c r="B32" s="12" t="str">
        <f>IF(字段输入模板!P31="","",IF(字段输入模板!C31="",IFERROR(字段输入模板!B31,""),IFERROR(字段输入模板!C31,"")))</f>
        <v/>
      </c>
      <c r="C32" s="12" t="str">
        <f>IF(字段输入模板!P31="","",IFERROR(字段输入模板!I31,""))</f>
        <v/>
      </c>
      <c r="D32" s="9" t="str">
        <f>IF(字段输入模板!P31="","",IFERROR(字段输入模板!Q31,""))</f>
        <v/>
      </c>
      <c r="E32" s="9" t="str">
        <f>IF(字段输入模板!P31="","",IFERROR(字段输入模板!L31,""))</f>
        <v/>
      </c>
      <c r="F32" s="9" t="str">
        <f>IF(字段输入模板!P31="","",IFERROR(字段输入模板!J31,""))</f>
        <v/>
      </c>
      <c r="G32" s="9" t="str">
        <f>IF(字段输入模板!P31="","",IFERROR(字段输入模板!K31,""))</f>
        <v/>
      </c>
      <c r="H32" s="12" t="str">
        <f>IF(字段输入模板!P31="","",IFERROR(字段输入模板!M31,""))</f>
        <v/>
      </c>
      <c r="I32" s="12" t="str">
        <f>IF(字段输入模板!P31="","",IFERROR(字段输入模板!N31,""))</f>
        <v/>
      </c>
      <c r="J32" s="12" t="str">
        <f>IF(字段输入模板!P31="","",IFERROR(字段输入模板!E31,""))</f>
        <v/>
      </c>
      <c r="K32" s="12" t="str">
        <f>IF(字段输入模板!P31="","",IFERROR(字段输入模板!O31,""))</f>
        <v/>
      </c>
      <c r="L32" s="9" t="str">
        <f>IF(字段输入模板!P31="","",IFERROR(字段输入模板!A31,""))</f>
        <v/>
      </c>
      <c r="M32" s="9" t="str">
        <f>IF(字段输入模板!P31="","",IFERROR(字段输入模板!F31,""))</f>
        <v/>
      </c>
      <c r="N32" s="9" t="str">
        <f>IF(字段输入模板!P31="","",IFERROR(字段输入模板!G31,""))</f>
        <v/>
      </c>
      <c r="O32" s="12" t="str">
        <f>IF(字段输入模板!P31="","",IFERROR(字段输入模板!H31,""))</f>
        <v/>
      </c>
      <c r="P32" s="13" t="str">
        <f>IF(字段输入模板!P31="","",IFERROR(字段输入模板!R31,""))</f>
        <v/>
      </c>
    </row>
    <row r="33" spans="1:16">
      <c r="A33" s="12" t="str">
        <f>IF(字段输入模板!P32="","",IFERROR(字段输入模板!P32,""))</f>
        <v/>
      </c>
      <c r="B33" s="12" t="str">
        <f>IF(字段输入模板!P32="","",IF(字段输入模板!C32="",IFERROR(字段输入模板!B32,""),IFERROR(字段输入模板!C32,"")))</f>
        <v/>
      </c>
      <c r="C33" s="12" t="str">
        <f>IF(字段输入模板!P32="","",IFERROR(字段输入模板!I32,""))</f>
        <v/>
      </c>
      <c r="D33" s="9" t="str">
        <f>IF(字段输入模板!P32="","",IFERROR(字段输入模板!Q32,""))</f>
        <v/>
      </c>
      <c r="E33" s="9" t="str">
        <f>IF(字段输入模板!P32="","",IFERROR(字段输入模板!L32,""))</f>
        <v/>
      </c>
      <c r="F33" s="9" t="str">
        <f>IF(字段输入模板!P32="","",IFERROR(字段输入模板!J32,""))</f>
        <v/>
      </c>
      <c r="G33" s="9" t="str">
        <f>IF(字段输入模板!P32="","",IFERROR(字段输入模板!K32,""))</f>
        <v/>
      </c>
      <c r="H33" s="12" t="str">
        <f>IF(字段输入模板!P32="","",IFERROR(字段输入模板!M32,""))</f>
        <v/>
      </c>
      <c r="I33" s="12" t="str">
        <f>IF(字段输入模板!P32="","",IFERROR(字段输入模板!N32,""))</f>
        <v/>
      </c>
      <c r="J33" s="12" t="str">
        <f>IF(字段输入模板!P32="","",IFERROR(字段输入模板!E32,""))</f>
        <v/>
      </c>
      <c r="K33" s="12" t="str">
        <f>IF(字段输入模板!P32="","",IFERROR(字段输入模板!O32,""))</f>
        <v/>
      </c>
      <c r="L33" s="9" t="str">
        <f>IF(字段输入模板!P32="","",IFERROR(字段输入模板!A32,""))</f>
        <v/>
      </c>
      <c r="M33" s="9" t="str">
        <f>IF(字段输入模板!P32="","",IFERROR(字段输入模板!F32,""))</f>
        <v/>
      </c>
      <c r="N33" s="9" t="str">
        <f>IF(字段输入模板!P32="","",IFERROR(字段输入模板!G32,""))</f>
        <v/>
      </c>
      <c r="O33" s="12" t="str">
        <f>IF(字段输入模板!P32="","",IFERROR(字段输入模板!H32,""))</f>
        <v/>
      </c>
      <c r="P33" s="13" t="str">
        <f>IF(字段输入模板!P32="","",IFERROR(字段输入模板!R32,""))</f>
        <v/>
      </c>
    </row>
    <row r="34" spans="1:16">
      <c r="A34" s="12" t="str">
        <f>IF(字段输入模板!P33="","",IFERROR(字段输入模板!P33,""))</f>
        <v/>
      </c>
      <c r="B34" s="12" t="str">
        <f>IF(字段输入模板!P33="","",IF(字段输入模板!C33="",IFERROR(字段输入模板!B33,""),IFERROR(字段输入模板!C33,"")))</f>
        <v/>
      </c>
      <c r="C34" s="12" t="str">
        <f>IF(字段输入模板!P33="","",IFERROR(字段输入模板!I33,""))</f>
        <v/>
      </c>
      <c r="D34" s="9" t="str">
        <f>IF(字段输入模板!P33="","",IFERROR(字段输入模板!Q33,""))</f>
        <v/>
      </c>
      <c r="E34" s="9" t="str">
        <f>IF(字段输入模板!P33="","",IFERROR(字段输入模板!L33,""))</f>
        <v/>
      </c>
      <c r="F34" s="9" t="str">
        <f>IF(字段输入模板!P33="","",IFERROR(字段输入模板!J33,""))</f>
        <v/>
      </c>
      <c r="G34" s="9" t="str">
        <f>IF(字段输入模板!P33="","",IFERROR(字段输入模板!K33,""))</f>
        <v/>
      </c>
      <c r="H34" s="12" t="str">
        <f>IF(字段输入模板!P33="","",IFERROR(字段输入模板!M33,""))</f>
        <v/>
      </c>
      <c r="I34" s="12" t="str">
        <f>IF(字段输入模板!P33="","",IFERROR(字段输入模板!N33,""))</f>
        <v/>
      </c>
      <c r="J34" s="12" t="str">
        <f>IF(字段输入模板!P33="","",IFERROR(字段输入模板!E33,""))</f>
        <v/>
      </c>
      <c r="K34" s="12" t="str">
        <f>IF(字段输入模板!P33="","",IFERROR(字段输入模板!O33,""))</f>
        <v/>
      </c>
      <c r="L34" s="9" t="str">
        <f>IF(字段输入模板!P33="","",IFERROR(字段输入模板!A33,""))</f>
        <v/>
      </c>
      <c r="M34" s="9" t="str">
        <f>IF(字段输入模板!P33="","",IFERROR(字段输入模板!F33,""))</f>
        <v/>
      </c>
      <c r="N34" s="9" t="str">
        <f>IF(字段输入模板!P33="","",IFERROR(字段输入模板!G33,""))</f>
        <v/>
      </c>
      <c r="O34" s="12" t="str">
        <f>IF(字段输入模板!P33="","",IFERROR(字段输入模板!H33,""))</f>
        <v/>
      </c>
      <c r="P34" s="13" t="str">
        <f>IF(字段输入模板!P33="","",IFERROR(字段输入模板!R33,""))</f>
        <v/>
      </c>
    </row>
    <row r="35" spans="1:16">
      <c r="A35" s="12" t="str">
        <f>IF(字段输入模板!P34="","",IFERROR(字段输入模板!P34,""))</f>
        <v/>
      </c>
      <c r="B35" s="12" t="str">
        <f>IF(字段输入模板!P34="","",IF(字段输入模板!C34="",IFERROR(字段输入模板!B34,""),IFERROR(字段输入模板!C34,"")))</f>
        <v/>
      </c>
      <c r="C35" s="12" t="str">
        <f>IF(字段输入模板!P34="","",IFERROR(字段输入模板!I34,""))</f>
        <v/>
      </c>
      <c r="D35" s="9" t="str">
        <f>IF(字段输入模板!P34="","",IFERROR(字段输入模板!Q34,""))</f>
        <v/>
      </c>
      <c r="E35" s="9" t="str">
        <f>IF(字段输入模板!P34="","",IFERROR(字段输入模板!L34,""))</f>
        <v/>
      </c>
      <c r="F35" s="9" t="str">
        <f>IF(字段输入模板!P34="","",IFERROR(字段输入模板!J34,""))</f>
        <v/>
      </c>
      <c r="G35" s="9" t="str">
        <f>IF(字段输入模板!P34="","",IFERROR(字段输入模板!K34,""))</f>
        <v/>
      </c>
      <c r="H35" s="12" t="str">
        <f>IF(字段输入模板!P34="","",IFERROR(字段输入模板!M34,""))</f>
        <v/>
      </c>
      <c r="I35" s="12" t="str">
        <f>IF(字段输入模板!P34="","",IFERROR(字段输入模板!N34,""))</f>
        <v/>
      </c>
      <c r="J35" s="12" t="str">
        <f>IF(字段输入模板!P34="","",IFERROR(字段输入模板!E34,""))</f>
        <v/>
      </c>
      <c r="K35" s="12" t="str">
        <f>IF(字段输入模板!P34="","",IFERROR(字段输入模板!O34,""))</f>
        <v/>
      </c>
      <c r="L35" s="9" t="str">
        <f>IF(字段输入模板!P34="","",IFERROR(字段输入模板!A34,""))</f>
        <v/>
      </c>
      <c r="M35" s="9" t="str">
        <f>IF(字段输入模板!P34="","",IFERROR(字段输入模板!F34,""))</f>
        <v/>
      </c>
      <c r="N35" s="9" t="str">
        <f>IF(字段输入模板!P34="","",IFERROR(字段输入模板!G34,""))</f>
        <v/>
      </c>
      <c r="O35" s="12" t="str">
        <f>IF(字段输入模板!P34="","",IFERROR(字段输入模板!H34,""))</f>
        <v/>
      </c>
      <c r="P35" s="13" t="str">
        <f>IF(字段输入模板!P34="","",IFERROR(字段输入模板!R34,""))</f>
        <v/>
      </c>
    </row>
    <row r="36" spans="1:16">
      <c r="A36" s="12" t="str">
        <f>IF(字段输入模板!P35="","",IFERROR(字段输入模板!P35,""))</f>
        <v/>
      </c>
      <c r="B36" s="12" t="str">
        <f>IF(字段输入模板!P35="","",IF(字段输入模板!C35="",IFERROR(字段输入模板!B35,""),IFERROR(字段输入模板!C35,"")))</f>
        <v/>
      </c>
      <c r="C36" s="12" t="str">
        <f>IF(字段输入模板!P35="","",IFERROR(字段输入模板!I35,""))</f>
        <v/>
      </c>
      <c r="D36" s="9" t="str">
        <f>IF(字段输入模板!P35="","",IFERROR(字段输入模板!Q35,""))</f>
        <v/>
      </c>
      <c r="E36" s="9" t="str">
        <f>IF(字段输入模板!P35="","",IFERROR(字段输入模板!L35,""))</f>
        <v/>
      </c>
      <c r="F36" s="9" t="str">
        <f>IF(字段输入模板!P35="","",IFERROR(字段输入模板!J35,""))</f>
        <v/>
      </c>
      <c r="G36" s="9" t="str">
        <f>IF(字段输入模板!P35="","",IFERROR(字段输入模板!K35,""))</f>
        <v/>
      </c>
      <c r="H36" s="12" t="str">
        <f>IF(字段输入模板!P35="","",IFERROR(字段输入模板!M35,""))</f>
        <v/>
      </c>
      <c r="I36" s="12" t="str">
        <f>IF(字段输入模板!P35="","",IFERROR(字段输入模板!N35,""))</f>
        <v/>
      </c>
      <c r="J36" s="12" t="str">
        <f>IF(字段输入模板!P35="","",IFERROR(字段输入模板!E35,""))</f>
        <v/>
      </c>
      <c r="K36" s="12" t="str">
        <f>IF(字段输入模板!P35="","",IFERROR(字段输入模板!O35,""))</f>
        <v/>
      </c>
      <c r="L36" s="9" t="str">
        <f>IF(字段输入模板!P35="","",IFERROR(字段输入模板!A35,""))</f>
        <v/>
      </c>
      <c r="M36" s="9" t="str">
        <f>IF(字段输入模板!P35="","",IFERROR(字段输入模板!F35,""))</f>
        <v/>
      </c>
      <c r="N36" s="9" t="str">
        <f>IF(字段输入模板!P35="","",IFERROR(字段输入模板!G35,""))</f>
        <v/>
      </c>
      <c r="O36" s="12" t="str">
        <f>IF(字段输入模板!P35="","",IFERROR(字段输入模板!H35,""))</f>
        <v/>
      </c>
      <c r="P36" s="13" t="str">
        <f>IF(字段输入模板!P35="","",IFERROR(字段输入模板!R35,""))</f>
        <v/>
      </c>
    </row>
    <row r="37" spans="1:16">
      <c r="A37" s="12" t="str">
        <f>IF(字段输入模板!P36="","",IFERROR(字段输入模板!P36,""))</f>
        <v/>
      </c>
      <c r="B37" s="12" t="str">
        <f>IF(字段输入模板!P36="","",IF(字段输入模板!C36="",IFERROR(字段输入模板!B36,""),IFERROR(字段输入模板!C36,"")))</f>
        <v/>
      </c>
      <c r="C37" s="12" t="str">
        <f>IF(字段输入模板!P36="","",IFERROR(字段输入模板!I36,""))</f>
        <v/>
      </c>
      <c r="D37" s="9" t="str">
        <f>IF(字段输入模板!P36="","",IFERROR(字段输入模板!Q36,""))</f>
        <v/>
      </c>
      <c r="E37" s="9" t="str">
        <f>IF(字段输入模板!P36="","",IFERROR(字段输入模板!L36,""))</f>
        <v/>
      </c>
      <c r="F37" s="9" t="str">
        <f>IF(字段输入模板!P36="","",IFERROR(字段输入模板!J36,""))</f>
        <v/>
      </c>
      <c r="G37" s="9" t="str">
        <f>IF(字段输入模板!P36="","",IFERROR(字段输入模板!K36,""))</f>
        <v/>
      </c>
      <c r="H37" s="12" t="str">
        <f>IF(字段输入模板!P36="","",IFERROR(字段输入模板!M36,""))</f>
        <v/>
      </c>
      <c r="I37" s="12" t="str">
        <f>IF(字段输入模板!P36="","",IFERROR(字段输入模板!N36,""))</f>
        <v/>
      </c>
      <c r="J37" s="12" t="str">
        <f>IF(字段输入模板!P36="","",IFERROR(字段输入模板!E36,""))</f>
        <v/>
      </c>
      <c r="K37" s="12" t="str">
        <f>IF(字段输入模板!P36="","",IFERROR(字段输入模板!O36,""))</f>
        <v/>
      </c>
      <c r="L37" s="9" t="str">
        <f>IF(字段输入模板!P36="","",IFERROR(字段输入模板!A36,""))</f>
        <v/>
      </c>
      <c r="M37" s="9" t="str">
        <f>IF(字段输入模板!P36="","",IFERROR(字段输入模板!F36,""))</f>
        <v/>
      </c>
      <c r="N37" s="9" t="str">
        <f>IF(字段输入模板!P36="","",IFERROR(字段输入模板!G36,""))</f>
        <v/>
      </c>
      <c r="O37" s="12" t="str">
        <f>IF(字段输入模板!P36="","",IFERROR(字段输入模板!H36,""))</f>
        <v/>
      </c>
      <c r="P37" s="13" t="str">
        <f>IF(字段输入模板!P36="","",IFERROR(字段输入模板!R36,""))</f>
        <v/>
      </c>
    </row>
    <row r="38" spans="1:16">
      <c r="A38" s="12" t="str">
        <f>IF(字段输入模板!P37="","",IFERROR(字段输入模板!P37,""))</f>
        <v/>
      </c>
      <c r="B38" s="12" t="str">
        <f>IF(字段输入模板!P37="","",IF(字段输入模板!C37="",IFERROR(字段输入模板!B37,""),IFERROR(字段输入模板!C37,"")))</f>
        <v/>
      </c>
      <c r="C38" s="12" t="str">
        <f>IF(字段输入模板!P37="","",IFERROR(字段输入模板!I37,""))</f>
        <v/>
      </c>
      <c r="D38" s="9" t="str">
        <f>IF(字段输入模板!P37="","",IFERROR(字段输入模板!Q37,""))</f>
        <v/>
      </c>
      <c r="E38" s="9" t="str">
        <f>IF(字段输入模板!P37="","",IFERROR(字段输入模板!L37,""))</f>
        <v/>
      </c>
      <c r="F38" s="9" t="str">
        <f>IF(字段输入模板!P37="","",IFERROR(字段输入模板!J37,""))</f>
        <v/>
      </c>
      <c r="G38" s="9" t="str">
        <f>IF(字段输入模板!P37="","",IFERROR(字段输入模板!K37,""))</f>
        <v/>
      </c>
      <c r="H38" s="12" t="str">
        <f>IF(字段输入模板!P37="","",IFERROR(字段输入模板!M37,""))</f>
        <v/>
      </c>
      <c r="I38" s="12" t="str">
        <f>IF(字段输入模板!P37="","",IFERROR(字段输入模板!N37,""))</f>
        <v/>
      </c>
      <c r="J38" s="12" t="str">
        <f>IF(字段输入模板!P37="","",IFERROR(字段输入模板!E37,""))</f>
        <v/>
      </c>
      <c r="K38" s="12" t="str">
        <f>IF(字段输入模板!P37="","",IFERROR(字段输入模板!O37,""))</f>
        <v/>
      </c>
      <c r="L38" s="9" t="str">
        <f>IF(字段输入模板!P37="","",IFERROR(字段输入模板!A37,""))</f>
        <v/>
      </c>
      <c r="M38" s="9" t="str">
        <f>IF(字段输入模板!P37="","",IFERROR(字段输入模板!F37,""))</f>
        <v/>
      </c>
      <c r="N38" s="9" t="str">
        <f>IF(字段输入模板!P37="","",IFERROR(字段输入模板!G37,""))</f>
        <v/>
      </c>
      <c r="O38" s="12" t="str">
        <f>IF(字段输入模板!P37="","",IFERROR(字段输入模板!H37,""))</f>
        <v/>
      </c>
      <c r="P38" s="13" t="str">
        <f>IF(字段输入模板!P37="","",IFERROR(字段输入模板!R37,""))</f>
        <v/>
      </c>
    </row>
    <row r="39" spans="1:16">
      <c r="A39" s="12" t="str">
        <f>IF(字段输入模板!P38="","",IFERROR(字段输入模板!P38,""))</f>
        <v/>
      </c>
      <c r="B39" s="12" t="str">
        <f>IF(字段输入模板!P38="","",IF(字段输入模板!C38="",IFERROR(字段输入模板!B38,""),IFERROR(字段输入模板!C38,"")))</f>
        <v/>
      </c>
      <c r="C39" s="12" t="str">
        <f>IF(字段输入模板!P38="","",IFERROR(字段输入模板!I38,""))</f>
        <v/>
      </c>
      <c r="D39" s="9" t="str">
        <f>IF(字段输入模板!P38="","",IFERROR(字段输入模板!Q38,""))</f>
        <v/>
      </c>
      <c r="E39" s="9" t="str">
        <f>IF(字段输入模板!P38="","",IFERROR(字段输入模板!L38,""))</f>
        <v/>
      </c>
      <c r="F39" s="9" t="str">
        <f>IF(字段输入模板!P38="","",IFERROR(字段输入模板!J38,""))</f>
        <v/>
      </c>
      <c r="G39" s="9" t="str">
        <f>IF(字段输入模板!P38="","",IFERROR(字段输入模板!K38,""))</f>
        <v/>
      </c>
      <c r="H39" s="12" t="str">
        <f>IF(字段输入模板!P38="","",IFERROR(字段输入模板!M38,""))</f>
        <v/>
      </c>
      <c r="I39" s="12" t="str">
        <f>IF(字段输入模板!P38="","",IFERROR(字段输入模板!N38,""))</f>
        <v/>
      </c>
      <c r="J39" s="12" t="str">
        <f>IF(字段输入模板!P38="","",IFERROR(字段输入模板!E38,""))</f>
        <v/>
      </c>
      <c r="K39" s="12" t="str">
        <f>IF(字段输入模板!P38="","",IFERROR(字段输入模板!O38,""))</f>
        <v/>
      </c>
      <c r="L39" s="9" t="str">
        <f>IF(字段输入模板!P38="","",IFERROR(字段输入模板!A38,""))</f>
        <v/>
      </c>
      <c r="M39" s="9" t="str">
        <f>IF(字段输入模板!P38="","",IFERROR(字段输入模板!F38,""))</f>
        <v/>
      </c>
      <c r="N39" s="9" t="str">
        <f>IF(字段输入模板!P38="","",IFERROR(字段输入模板!G38,""))</f>
        <v/>
      </c>
      <c r="O39" s="12" t="str">
        <f>IF(字段输入模板!P38="","",IFERROR(字段输入模板!H38,""))</f>
        <v/>
      </c>
      <c r="P39" s="13" t="str">
        <f>IF(字段输入模板!P38="","",IFERROR(字段输入模板!R38,""))</f>
        <v/>
      </c>
    </row>
    <row r="40" spans="1:16">
      <c r="A40" s="12" t="str">
        <f>IF(字段输入模板!P39="","",IFERROR(字段输入模板!P39,""))</f>
        <v/>
      </c>
      <c r="B40" s="12" t="str">
        <f>IF(字段输入模板!P39="","",IF(字段输入模板!C39="",IFERROR(字段输入模板!B39,""),IFERROR(字段输入模板!C39,"")))</f>
        <v/>
      </c>
      <c r="C40" s="12" t="str">
        <f>IF(字段输入模板!P39="","",IFERROR(字段输入模板!I39,""))</f>
        <v/>
      </c>
      <c r="D40" s="9" t="str">
        <f>IF(字段输入模板!P39="","",IFERROR(字段输入模板!Q39,""))</f>
        <v/>
      </c>
      <c r="E40" s="9" t="str">
        <f>IF(字段输入模板!P39="","",IFERROR(字段输入模板!L39,""))</f>
        <v/>
      </c>
      <c r="F40" s="9" t="str">
        <f>IF(字段输入模板!P39="","",IFERROR(字段输入模板!J39,""))</f>
        <v/>
      </c>
      <c r="G40" s="9" t="str">
        <f>IF(字段输入模板!P39="","",IFERROR(字段输入模板!K39,""))</f>
        <v/>
      </c>
      <c r="H40" s="12" t="str">
        <f>IF(字段输入模板!P39="","",IFERROR(字段输入模板!M39,""))</f>
        <v/>
      </c>
      <c r="I40" s="12" t="str">
        <f>IF(字段输入模板!P39="","",IFERROR(字段输入模板!N39,""))</f>
        <v/>
      </c>
      <c r="J40" s="12" t="str">
        <f>IF(字段输入模板!P39="","",IFERROR(字段输入模板!E39,""))</f>
        <v/>
      </c>
      <c r="K40" s="12" t="str">
        <f>IF(字段输入模板!P39="","",IFERROR(字段输入模板!O39,""))</f>
        <v/>
      </c>
      <c r="L40" s="9" t="str">
        <f>IF(字段输入模板!P39="","",IFERROR(字段输入模板!A39,""))</f>
        <v/>
      </c>
      <c r="M40" s="9" t="str">
        <f>IF(字段输入模板!P39="","",IFERROR(字段输入模板!F39,""))</f>
        <v/>
      </c>
      <c r="N40" s="9" t="str">
        <f>IF(字段输入模板!P39="","",IFERROR(字段输入模板!G39,""))</f>
        <v/>
      </c>
      <c r="O40" s="12" t="str">
        <f>IF(字段输入模板!P39="","",IFERROR(字段输入模板!H39,""))</f>
        <v/>
      </c>
      <c r="P40" s="13" t="str">
        <f>IF(字段输入模板!P39="","",IFERROR(字段输入模板!R39,""))</f>
        <v/>
      </c>
    </row>
    <row r="41" spans="1:16">
      <c r="A41" s="12" t="str">
        <f>IF(字段输入模板!P40="","",IFERROR(字段输入模板!P40,""))</f>
        <v/>
      </c>
      <c r="B41" s="12" t="str">
        <f>IF(字段输入模板!P40="","",IF(字段输入模板!C40="",IFERROR(字段输入模板!B40,""),IFERROR(字段输入模板!C40,"")))</f>
        <v/>
      </c>
      <c r="C41" s="12" t="str">
        <f>IF(字段输入模板!P40="","",IFERROR(字段输入模板!I40,""))</f>
        <v/>
      </c>
      <c r="D41" s="9" t="str">
        <f>IF(字段输入模板!P40="","",IFERROR(字段输入模板!Q40,""))</f>
        <v/>
      </c>
      <c r="E41" s="9" t="str">
        <f>IF(字段输入模板!P40="","",IFERROR(字段输入模板!L40,""))</f>
        <v/>
      </c>
      <c r="F41" s="9" t="str">
        <f>IF(字段输入模板!P40="","",IFERROR(字段输入模板!J40,""))</f>
        <v/>
      </c>
      <c r="G41" s="9" t="str">
        <f>IF(字段输入模板!P40="","",IFERROR(字段输入模板!K40,""))</f>
        <v/>
      </c>
      <c r="H41" s="12" t="str">
        <f>IF(字段输入模板!P40="","",IFERROR(字段输入模板!M40,""))</f>
        <v/>
      </c>
      <c r="I41" s="12" t="str">
        <f>IF(字段输入模板!P40="","",IFERROR(字段输入模板!N40,""))</f>
        <v/>
      </c>
      <c r="J41" s="12" t="str">
        <f>IF(字段输入模板!P40="","",IFERROR(字段输入模板!E40,""))</f>
        <v/>
      </c>
      <c r="K41" s="12" t="str">
        <f>IF(字段输入模板!P40="","",IFERROR(字段输入模板!O40,""))</f>
        <v/>
      </c>
      <c r="L41" s="9" t="str">
        <f>IF(字段输入模板!P40="","",IFERROR(字段输入模板!A40,""))</f>
        <v/>
      </c>
      <c r="M41" s="9" t="str">
        <f>IF(字段输入模板!P40="","",IFERROR(字段输入模板!F40,""))</f>
        <v/>
      </c>
      <c r="N41" s="9" t="str">
        <f>IF(字段输入模板!P40="","",IFERROR(字段输入模板!G40,""))</f>
        <v/>
      </c>
      <c r="O41" s="12" t="str">
        <f>IF(字段输入模板!P40="","",IFERROR(字段输入模板!H40,""))</f>
        <v/>
      </c>
      <c r="P41" s="13" t="str">
        <f>IF(字段输入模板!P40="","",IFERROR(字段输入模板!R40,""))</f>
        <v/>
      </c>
    </row>
    <row r="42" spans="1:16">
      <c r="A42" s="12" t="str">
        <f>IF(字段输入模板!P41="","",IFERROR(字段输入模板!P41,""))</f>
        <v/>
      </c>
      <c r="B42" s="12" t="str">
        <f>IF(字段输入模板!P41="","",IF(字段输入模板!C41="",IFERROR(字段输入模板!B41,""),IFERROR(字段输入模板!C41,"")))</f>
        <v/>
      </c>
      <c r="C42" s="12" t="str">
        <f>IF(字段输入模板!P41="","",IFERROR(字段输入模板!I41,""))</f>
        <v/>
      </c>
      <c r="D42" s="9" t="str">
        <f>IF(字段输入模板!P41="","",IFERROR(字段输入模板!Q41,""))</f>
        <v/>
      </c>
      <c r="E42" s="9" t="str">
        <f>IF(字段输入模板!P41="","",IFERROR(字段输入模板!L41,""))</f>
        <v/>
      </c>
      <c r="F42" s="9" t="str">
        <f>IF(字段输入模板!P41="","",IFERROR(字段输入模板!J41,""))</f>
        <v/>
      </c>
      <c r="G42" s="9" t="str">
        <f>IF(字段输入模板!P41="","",IFERROR(字段输入模板!K41,""))</f>
        <v/>
      </c>
      <c r="H42" s="12" t="str">
        <f>IF(字段输入模板!P41="","",IFERROR(字段输入模板!M41,""))</f>
        <v/>
      </c>
      <c r="I42" s="12" t="str">
        <f>IF(字段输入模板!P41="","",IFERROR(字段输入模板!N41,""))</f>
        <v/>
      </c>
      <c r="J42" s="12" t="str">
        <f>IF(字段输入模板!P41="","",IFERROR(字段输入模板!E41,""))</f>
        <v/>
      </c>
      <c r="K42" s="12" t="str">
        <f>IF(字段输入模板!P41="","",IFERROR(字段输入模板!O41,""))</f>
        <v/>
      </c>
      <c r="L42" s="9" t="str">
        <f>IF(字段输入模板!P41="","",IFERROR(字段输入模板!A41,""))</f>
        <v/>
      </c>
      <c r="M42" s="9" t="str">
        <f>IF(字段输入模板!P41="","",IFERROR(字段输入模板!F41,""))</f>
        <v/>
      </c>
      <c r="N42" s="9" t="str">
        <f>IF(字段输入模板!P41="","",IFERROR(字段输入模板!G41,""))</f>
        <v/>
      </c>
      <c r="O42" s="12" t="str">
        <f>IF(字段输入模板!P41="","",IFERROR(字段输入模板!H41,""))</f>
        <v/>
      </c>
      <c r="P42" s="13" t="str">
        <f>IF(字段输入模板!P41="","",IFERROR(字段输入模板!R41,""))</f>
        <v/>
      </c>
    </row>
    <row r="43" spans="1:16">
      <c r="A43" s="12" t="str">
        <f>IF(字段输入模板!P42="","",IFERROR(字段输入模板!P42,""))</f>
        <v/>
      </c>
      <c r="B43" s="12" t="str">
        <f>IF(字段输入模板!P42="","",IF(字段输入模板!C42="",IFERROR(字段输入模板!B42,""),IFERROR(字段输入模板!C42,"")))</f>
        <v/>
      </c>
      <c r="C43" s="12" t="str">
        <f>IF(字段输入模板!P42="","",IFERROR(字段输入模板!I42,""))</f>
        <v/>
      </c>
      <c r="D43" s="9" t="str">
        <f>IF(字段输入模板!P42="","",IFERROR(字段输入模板!Q42,""))</f>
        <v/>
      </c>
      <c r="E43" s="9" t="str">
        <f>IF(字段输入模板!P42="","",IFERROR(字段输入模板!L42,""))</f>
        <v/>
      </c>
      <c r="F43" s="9" t="str">
        <f>IF(字段输入模板!P42="","",IFERROR(字段输入模板!J42,""))</f>
        <v/>
      </c>
      <c r="G43" s="9" t="str">
        <f>IF(字段输入模板!P42="","",IFERROR(字段输入模板!K42,""))</f>
        <v/>
      </c>
      <c r="H43" s="12" t="str">
        <f>IF(字段输入模板!P42="","",IFERROR(字段输入模板!M42,""))</f>
        <v/>
      </c>
      <c r="I43" s="12" t="str">
        <f>IF(字段输入模板!P42="","",IFERROR(字段输入模板!N42,""))</f>
        <v/>
      </c>
      <c r="J43" s="12" t="str">
        <f>IF(字段输入模板!P42="","",IFERROR(字段输入模板!E42,""))</f>
        <v/>
      </c>
      <c r="K43" s="12" t="str">
        <f>IF(字段输入模板!P42="","",IFERROR(字段输入模板!O42,""))</f>
        <v/>
      </c>
      <c r="L43" s="9" t="str">
        <f>IF(字段输入模板!P42="","",IFERROR(字段输入模板!A42,""))</f>
        <v/>
      </c>
      <c r="M43" s="9" t="str">
        <f>IF(字段输入模板!P42="","",IFERROR(字段输入模板!F42,""))</f>
        <v/>
      </c>
      <c r="N43" s="9" t="str">
        <f>IF(字段输入模板!P42="","",IFERROR(字段输入模板!G42,""))</f>
        <v/>
      </c>
      <c r="O43" s="12" t="str">
        <f>IF(字段输入模板!P42="","",IFERROR(字段输入模板!H42,""))</f>
        <v/>
      </c>
      <c r="P43" s="13" t="str">
        <f>IF(字段输入模板!P42="","",IFERROR(字段输入模板!R42,""))</f>
        <v/>
      </c>
    </row>
    <row r="44" spans="1:16">
      <c r="A44" s="12" t="str">
        <f>IF(字段输入模板!P43="","",IFERROR(字段输入模板!P43,""))</f>
        <v/>
      </c>
      <c r="B44" s="12" t="str">
        <f>IF(字段输入模板!P43="","",IF(字段输入模板!C43="",IFERROR(字段输入模板!B43,""),IFERROR(字段输入模板!C43,"")))</f>
        <v/>
      </c>
      <c r="C44" s="12" t="str">
        <f>IF(字段输入模板!P43="","",IFERROR(字段输入模板!I43,""))</f>
        <v/>
      </c>
      <c r="D44" s="9" t="str">
        <f>IF(字段输入模板!P43="","",IFERROR(字段输入模板!Q43,""))</f>
        <v/>
      </c>
      <c r="E44" s="9" t="str">
        <f>IF(字段输入模板!P43="","",IFERROR(字段输入模板!L43,""))</f>
        <v/>
      </c>
      <c r="F44" s="9" t="str">
        <f>IF(字段输入模板!P43="","",IFERROR(字段输入模板!J43,""))</f>
        <v/>
      </c>
      <c r="G44" s="9" t="str">
        <f>IF(字段输入模板!P43="","",IFERROR(字段输入模板!K43,""))</f>
        <v/>
      </c>
      <c r="H44" s="12" t="str">
        <f>IF(字段输入模板!P43="","",IFERROR(字段输入模板!M43,""))</f>
        <v/>
      </c>
      <c r="I44" s="12" t="str">
        <f>IF(字段输入模板!P43="","",IFERROR(字段输入模板!N43,""))</f>
        <v/>
      </c>
      <c r="J44" s="12" t="str">
        <f>IF(字段输入模板!P43="","",IFERROR(字段输入模板!E43,""))</f>
        <v/>
      </c>
      <c r="K44" s="12" t="str">
        <f>IF(字段输入模板!P43="","",IFERROR(字段输入模板!O43,""))</f>
        <v/>
      </c>
      <c r="L44" s="9" t="str">
        <f>IF(字段输入模板!P43="","",IFERROR(字段输入模板!A43,""))</f>
        <v/>
      </c>
      <c r="M44" s="9" t="str">
        <f>IF(字段输入模板!P43="","",IFERROR(字段输入模板!F43,""))</f>
        <v/>
      </c>
      <c r="N44" s="9" t="str">
        <f>IF(字段输入模板!P43="","",IFERROR(字段输入模板!G43,""))</f>
        <v/>
      </c>
      <c r="O44" s="12" t="str">
        <f>IF(字段输入模板!P43="","",IFERROR(字段输入模板!H43,""))</f>
        <v/>
      </c>
      <c r="P44" s="13" t="str">
        <f>IF(字段输入模板!P43="","",IFERROR(字段输入模板!R43,""))</f>
        <v/>
      </c>
    </row>
    <row r="45" spans="1:16">
      <c r="A45" s="12" t="str">
        <f>IF(字段输入模板!P44="","",IFERROR(字段输入模板!P44,""))</f>
        <v/>
      </c>
      <c r="B45" s="12" t="str">
        <f>IF(字段输入模板!P44="","",IF(字段输入模板!C44="",IFERROR(字段输入模板!B44,""),IFERROR(字段输入模板!C44,"")))</f>
        <v/>
      </c>
      <c r="C45" s="12" t="str">
        <f>IF(字段输入模板!P44="","",IFERROR(字段输入模板!I44,""))</f>
        <v/>
      </c>
      <c r="D45" s="9" t="str">
        <f>IF(字段输入模板!P44="","",IFERROR(字段输入模板!Q44,""))</f>
        <v/>
      </c>
      <c r="E45" s="9" t="str">
        <f>IF(字段输入模板!P44="","",IFERROR(字段输入模板!L44,""))</f>
        <v/>
      </c>
      <c r="F45" s="9" t="str">
        <f>IF(字段输入模板!P44="","",IFERROR(字段输入模板!J44,""))</f>
        <v/>
      </c>
      <c r="G45" s="9" t="str">
        <f>IF(字段输入模板!P44="","",IFERROR(字段输入模板!K44,""))</f>
        <v/>
      </c>
      <c r="H45" s="12" t="str">
        <f>IF(字段输入模板!P44="","",IFERROR(字段输入模板!M44,""))</f>
        <v/>
      </c>
      <c r="I45" s="12" t="str">
        <f>IF(字段输入模板!P44="","",IFERROR(字段输入模板!N44,""))</f>
        <v/>
      </c>
      <c r="J45" s="12" t="str">
        <f>IF(字段输入模板!P44="","",IFERROR(字段输入模板!E44,""))</f>
        <v/>
      </c>
      <c r="K45" s="12" t="str">
        <f>IF(字段输入模板!P44="","",IFERROR(字段输入模板!O44,""))</f>
        <v/>
      </c>
      <c r="L45" s="9" t="str">
        <f>IF(字段输入模板!P44="","",IFERROR(字段输入模板!A44,""))</f>
        <v/>
      </c>
      <c r="M45" s="9" t="str">
        <f>IF(字段输入模板!P44="","",IFERROR(字段输入模板!F44,""))</f>
        <v/>
      </c>
      <c r="N45" s="9" t="str">
        <f>IF(字段输入模板!P44="","",IFERROR(字段输入模板!G44,""))</f>
        <v/>
      </c>
      <c r="O45" s="12" t="str">
        <f>IF(字段输入模板!P44="","",IFERROR(字段输入模板!H44,""))</f>
        <v/>
      </c>
      <c r="P45" s="13" t="str">
        <f>IF(字段输入模板!P44="","",IFERROR(字段输入模板!R44,""))</f>
        <v/>
      </c>
    </row>
    <row r="46" spans="1:16">
      <c r="A46" s="12" t="str">
        <f>IF(字段输入模板!P45="","",IFERROR(字段输入模板!P45,""))</f>
        <v/>
      </c>
      <c r="B46" s="12" t="str">
        <f>IF(字段输入模板!P45="","",IF(字段输入模板!C45="",IFERROR(字段输入模板!B45,""),IFERROR(字段输入模板!C45,"")))</f>
        <v/>
      </c>
      <c r="C46" s="12" t="str">
        <f>IF(字段输入模板!P45="","",IFERROR(字段输入模板!I45,""))</f>
        <v/>
      </c>
      <c r="D46" s="9" t="str">
        <f>IF(字段输入模板!P45="","",IFERROR(字段输入模板!Q45,""))</f>
        <v/>
      </c>
      <c r="E46" s="9" t="str">
        <f>IF(字段输入模板!P45="","",IFERROR(字段输入模板!L45,""))</f>
        <v/>
      </c>
      <c r="F46" s="9" t="str">
        <f>IF(字段输入模板!P45="","",IFERROR(字段输入模板!J45,""))</f>
        <v/>
      </c>
      <c r="G46" s="9" t="str">
        <f>IF(字段输入模板!P45="","",IFERROR(字段输入模板!K45,""))</f>
        <v/>
      </c>
      <c r="H46" s="12" t="str">
        <f>IF(字段输入模板!P45="","",IFERROR(字段输入模板!M45,""))</f>
        <v/>
      </c>
      <c r="I46" s="12" t="str">
        <f>IF(字段输入模板!P45="","",IFERROR(字段输入模板!N45,""))</f>
        <v/>
      </c>
      <c r="J46" s="12" t="str">
        <f>IF(字段输入模板!P45="","",IFERROR(字段输入模板!E45,""))</f>
        <v/>
      </c>
      <c r="K46" s="12" t="str">
        <f>IF(字段输入模板!P45="","",IFERROR(字段输入模板!O45,""))</f>
        <v/>
      </c>
      <c r="L46" s="9" t="str">
        <f>IF(字段输入模板!P45="","",IFERROR(字段输入模板!A45,""))</f>
        <v/>
      </c>
      <c r="M46" s="9" t="str">
        <f>IF(字段输入模板!P45="","",IFERROR(字段输入模板!F45,""))</f>
        <v/>
      </c>
      <c r="N46" s="9" t="str">
        <f>IF(字段输入模板!P45="","",IFERROR(字段输入模板!G45,""))</f>
        <v/>
      </c>
      <c r="O46" s="12" t="str">
        <f>IF(字段输入模板!P45="","",IFERROR(字段输入模板!H45,""))</f>
        <v/>
      </c>
      <c r="P46" s="13" t="str">
        <f>IF(字段输入模板!P45="","",IFERROR(字段输入模板!R45,""))</f>
        <v/>
      </c>
    </row>
    <row r="47" spans="1:16">
      <c r="A47" s="12" t="str">
        <f>IF(字段输入模板!P46="","",IFERROR(字段输入模板!P46,""))</f>
        <v/>
      </c>
      <c r="B47" s="12" t="str">
        <f>IF(字段输入模板!P46="","",IF(字段输入模板!C46="",IFERROR(字段输入模板!B46,""),IFERROR(字段输入模板!C46,"")))</f>
        <v/>
      </c>
      <c r="C47" s="12" t="str">
        <f>IF(字段输入模板!P46="","",IFERROR(字段输入模板!I46,""))</f>
        <v/>
      </c>
      <c r="D47" s="9" t="str">
        <f>IF(字段输入模板!P46="","",IFERROR(字段输入模板!Q46,""))</f>
        <v/>
      </c>
      <c r="E47" s="9" t="str">
        <f>IF(字段输入模板!P46="","",IFERROR(字段输入模板!L46,""))</f>
        <v/>
      </c>
      <c r="F47" s="9" t="str">
        <f>IF(字段输入模板!P46="","",IFERROR(字段输入模板!J46,""))</f>
        <v/>
      </c>
      <c r="G47" s="9" t="str">
        <f>IF(字段输入模板!P46="","",IFERROR(字段输入模板!K46,""))</f>
        <v/>
      </c>
      <c r="H47" s="12" t="str">
        <f>IF(字段输入模板!P46="","",IFERROR(字段输入模板!M46,""))</f>
        <v/>
      </c>
      <c r="I47" s="12" t="str">
        <f>IF(字段输入模板!P46="","",IFERROR(字段输入模板!N46,""))</f>
        <v/>
      </c>
      <c r="J47" s="12" t="str">
        <f>IF(字段输入模板!P46="","",IFERROR(字段输入模板!E46,""))</f>
        <v/>
      </c>
      <c r="K47" s="12" t="str">
        <f>IF(字段输入模板!P46="","",IFERROR(字段输入模板!O46,""))</f>
        <v/>
      </c>
      <c r="L47" s="9" t="str">
        <f>IF(字段输入模板!P46="","",IFERROR(字段输入模板!A46,""))</f>
        <v/>
      </c>
      <c r="M47" s="9" t="str">
        <f>IF(字段输入模板!P46="","",IFERROR(字段输入模板!F46,""))</f>
        <v/>
      </c>
      <c r="N47" s="9" t="str">
        <f>IF(字段输入模板!P46="","",IFERROR(字段输入模板!G46,""))</f>
        <v/>
      </c>
      <c r="O47" s="12" t="str">
        <f>IF(字段输入模板!P46="","",IFERROR(字段输入模板!H46,""))</f>
        <v/>
      </c>
      <c r="P47" s="13" t="str">
        <f>IF(字段输入模板!P46="","",IFERROR(字段输入模板!R46,""))</f>
        <v/>
      </c>
    </row>
    <row r="48" spans="1:16">
      <c r="A48" s="12" t="str">
        <f>IF(字段输入模板!P47="","",IFERROR(字段输入模板!P47,""))</f>
        <v/>
      </c>
      <c r="B48" s="12" t="str">
        <f>IF(字段输入模板!P47="","",IF(字段输入模板!C47="",IFERROR(字段输入模板!B47,""),IFERROR(字段输入模板!C47,"")))</f>
        <v/>
      </c>
      <c r="C48" s="12" t="str">
        <f>IF(字段输入模板!P47="","",IFERROR(字段输入模板!I47,""))</f>
        <v/>
      </c>
      <c r="D48" s="9" t="str">
        <f>IF(字段输入模板!P47="","",IFERROR(字段输入模板!Q47,""))</f>
        <v/>
      </c>
      <c r="E48" s="9" t="str">
        <f>IF(字段输入模板!P47="","",IFERROR(字段输入模板!L47,""))</f>
        <v/>
      </c>
      <c r="F48" s="9" t="str">
        <f>IF(字段输入模板!P47="","",IFERROR(字段输入模板!J47,""))</f>
        <v/>
      </c>
      <c r="G48" s="9" t="str">
        <f>IF(字段输入模板!P47="","",IFERROR(字段输入模板!K47,""))</f>
        <v/>
      </c>
      <c r="H48" s="12" t="str">
        <f>IF(字段输入模板!P47="","",IFERROR(字段输入模板!M47,""))</f>
        <v/>
      </c>
      <c r="I48" s="12" t="str">
        <f>IF(字段输入模板!P47="","",IFERROR(字段输入模板!N47,""))</f>
        <v/>
      </c>
      <c r="J48" s="12" t="str">
        <f>IF(字段输入模板!P47="","",IFERROR(字段输入模板!E47,""))</f>
        <v/>
      </c>
      <c r="K48" s="12" t="str">
        <f>IF(字段输入模板!P47="","",IFERROR(字段输入模板!O47,""))</f>
        <v/>
      </c>
      <c r="L48" s="9" t="str">
        <f>IF(字段输入模板!P47="","",IFERROR(字段输入模板!A47,""))</f>
        <v/>
      </c>
      <c r="M48" s="9" t="str">
        <f>IF(字段输入模板!P47="","",IFERROR(字段输入模板!F47,""))</f>
        <v/>
      </c>
      <c r="N48" s="9" t="str">
        <f>IF(字段输入模板!P47="","",IFERROR(字段输入模板!G47,""))</f>
        <v/>
      </c>
      <c r="O48" s="12" t="str">
        <f>IF(字段输入模板!P47="","",IFERROR(字段输入模板!H47,""))</f>
        <v/>
      </c>
      <c r="P48" s="13" t="str">
        <f>IF(字段输入模板!P47="","",IFERROR(字段输入模板!R47,""))</f>
        <v/>
      </c>
    </row>
    <row r="49" spans="1:16">
      <c r="A49" s="12" t="str">
        <f>IF(字段输入模板!P48="","",IFERROR(字段输入模板!P48,""))</f>
        <v/>
      </c>
      <c r="B49" s="12" t="str">
        <f>IF(字段输入模板!P48="","",IF(字段输入模板!C48="",IFERROR(字段输入模板!B48,""),IFERROR(字段输入模板!C48,"")))</f>
        <v/>
      </c>
      <c r="C49" s="12" t="str">
        <f>IF(字段输入模板!P48="","",IFERROR(字段输入模板!I48,""))</f>
        <v/>
      </c>
      <c r="D49" s="9" t="str">
        <f>IF(字段输入模板!P48="","",IFERROR(字段输入模板!Q48,""))</f>
        <v/>
      </c>
      <c r="E49" s="9" t="str">
        <f>IF(字段输入模板!P48="","",IFERROR(字段输入模板!L48,""))</f>
        <v/>
      </c>
      <c r="F49" s="9" t="str">
        <f>IF(字段输入模板!P48="","",IFERROR(字段输入模板!J48,""))</f>
        <v/>
      </c>
      <c r="G49" s="9" t="str">
        <f>IF(字段输入模板!P48="","",IFERROR(字段输入模板!K48,""))</f>
        <v/>
      </c>
      <c r="H49" s="12" t="str">
        <f>IF(字段输入模板!P48="","",IFERROR(字段输入模板!M48,""))</f>
        <v/>
      </c>
      <c r="I49" s="12" t="str">
        <f>IF(字段输入模板!P48="","",IFERROR(字段输入模板!N48,""))</f>
        <v/>
      </c>
      <c r="J49" s="12" t="str">
        <f>IF(字段输入模板!P48="","",IFERROR(字段输入模板!E48,""))</f>
        <v/>
      </c>
      <c r="K49" s="12" t="str">
        <f>IF(字段输入模板!P48="","",IFERROR(字段输入模板!O48,""))</f>
        <v/>
      </c>
      <c r="L49" s="9" t="str">
        <f>IF(字段输入模板!P48="","",IFERROR(字段输入模板!A48,""))</f>
        <v/>
      </c>
      <c r="M49" s="9" t="str">
        <f>IF(字段输入模板!P48="","",IFERROR(字段输入模板!F48,""))</f>
        <v/>
      </c>
      <c r="N49" s="9" t="str">
        <f>IF(字段输入模板!P48="","",IFERROR(字段输入模板!G48,""))</f>
        <v/>
      </c>
      <c r="O49" s="12" t="str">
        <f>IF(字段输入模板!P48="","",IFERROR(字段输入模板!H48,""))</f>
        <v/>
      </c>
      <c r="P49" s="13" t="str">
        <f>IF(字段输入模板!P48="","",IFERROR(字段输入模板!R48,""))</f>
        <v/>
      </c>
    </row>
    <row r="50" spans="1:16">
      <c r="A50" s="12" t="str">
        <f>IF(字段输入模板!P49="","",IFERROR(字段输入模板!P49,""))</f>
        <v/>
      </c>
      <c r="B50" s="12" t="str">
        <f>IF(字段输入模板!P49="","",IF(字段输入模板!C49="",IFERROR(字段输入模板!B49,""),IFERROR(字段输入模板!C49,"")))</f>
        <v/>
      </c>
      <c r="C50" s="12" t="str">
        <f>IF(字段输入模板!P49="","",IFERROR(字段输入模板!I49,""))</f>
        <v/>
      </c>
      <c r="D50" s="9" t="str">
        <f>IF(字段输入模板!P49="","",IFERROR(字段输入模板!Q49,""))</f>
        <v/>
      </c>
      <c r="E50" s="9" t="str">
        <f>IF(字段输入模板!P49="","",IFERROR(字段输入模板!L49,""))</f>
        <v/>
      </c>
      <c r="F50" s="9" t="str">
        <f>IF(字段输入模板!P49="","",IFERROR(字段输入模板!J49,""))</f>
        <v/>
      </c>
      <c r="G50" s="9" t="str">
        <f>IF(字段输入模板!P49="","",IFERROR(字段输入模板!K49,""))</f>
        <v/>
      </c>
      <c r="H50" s="12" t="str">
        <f>IF(字段输入模板!P49="","",IFERROR(字段输入模板!M49,""))</f>
        <v/>
      </c>
      <c r="I50" s="12" t="str">
        <f>IF(字段输入模板!P49="","",IFERROR(字段输入模板!N49,""))</f>
        <v/>
      </c>
      <c r="J50" s="12" t="str">
        <f>IF(字段输入模板!P49="","",IFERROR(字段输入模板!E49,""))</f>
        <v/>
      </c>
      <c r="K50" s="12" t="str">
        <f>IF(字段输入模板!P49="","",IFERROR(字段输入模板!O49,""))</f>
        <v/>
      </c>
      <c r="L50" s="9" t="str">
        <f>IF(字段输入模板!P49="","",IFERROR(字段输入模板!A49,""))</f>
        <v/>
      </c>
      <c r="M50" s="9" t="str">
        <f>IF(字段输入模板!P49="","",IFERROR(字段输入模板!F49,""))</f>
        <v/>
      </c>
      <c r="N50" s="9" t="str">
        <f>IF(字段输入模板!P49="","",IFERROR(字段输入模板!G49,""))</f>
        <v/>
      </c>
      <c r="O50" s="12" t="str">
        <f>IF(字段输入模板!P49="","",IFERROR(字段输入模板!H49,""))</f>
        <v/>
      </c>
      <c r="P50" s="13" t="str">
        <f>IF(字段输入模板!P49="","",IFERROR(字段输入模板!R49,""))</f>
        <v/>
      </c>
    </row>
    <row r="51" spans="1:16">
      <c r="A51" s="12" t="str">
        <f>IF(字段输入模板!P50="","",IFERROR(字段输入模板!P50,""))</f>
        <v/>
      </c>
      <c r="B51" s="12" t="str">
        <f>IF(字段输入模板!P50="","",IF(字段输入模板!C50="",IFERROR(字段输入模板!B50,""),IFERROR(字段输入模板!C50,"")))</f>
        <v/>
      </c>
      <c r="C51" s="12" t="str">
        <f>IF(字段输入模板!P50="","",IFERROR(字段输入模板!I50,""))</f>
        <v/>
      </c>
      <c r="D51" s="9" t="str">
        <f>IF(字段输入模板!P50="","",IFERROR(字段输入模板!Q50,""))</f>
        <v/>
      </c>
      <c r="E51" s="9" t="str">
        <f>IF(字段输入模板!P50="","",IFERROR(字段输入模板!L50,""))</f>
        <v/>
      </c>
      <c r="F51" s="9" t="str">
        <f>IF(字段输入模板!P50="","",IFERROR(字段输入模板!J50,""))</f>
        <v/>
      </c>
      <c r="G51" s="9" t="str">
        <f>IF(字段输入模板!P50="","",IFERROR(字段输入模板!K50,""))</f>
        <v/>
      </c>
      <c r="H51" s="12" t="str">
        <f>IF(字段输入模板!P50="","",IFERROR(字段输入模板!M50,""))</f>
        <v/>
      </c>
      <c r="I51" s="12" t="str">
        <f>IF(字段输入模板!P50="","",IFERROR(字段输入模板!N50,""))</f>
        <v/>
      </c>
      <c r="J51" s="12" t="str">
        <f>IF(字段输入模板!P50="","",IFERROR(字段输入模板!E50,""))</f>
        <v/>
      </c>
      <c r="K51" s="12" t="str">
        <f>IF(字段输入模板!P50="","",IFERROR(字段输入模板!O50,""))</f>
        <v/>
      </c>
      <c r="L51" s="9" t="str">
        <f>IF(字段输入模板!P50="","",IFERROR(字段输入模板!A50,""))</f>
        <v/>
      </c>
      <c r="M51" s="9" t="str">
        <f>IF(字段输入模板!P50="","",IFERROR(字段输入模板!F50,""))</f>
        <v/>
      </c>
      <c r="N51" s="9" t="str">
        <f>IF(字段输入模板!P50="","",IFERROR(字段输入模板!G50,""))</f>
        <v/>
      </c>
      <c r="O51" s="12" t="str">
        <f>IF(字段输入模板!P50="","",IFERROR(字段输入模板!H50,""))</f>
        <v/>
      </c>
      <c r="P51" s="13" t="str">
        <f>IF(字段输入模板!P50="","",IFERROR(字段输入模板!R50,""))</f>
        <v/>
      </c>
    </row>
    <row r="52" spans="1:16">
      <c r="A52" s="12" t="str">
        <f>IF(字段输入模板!P51="","",IFERROR(字段输入模板!P51,""))</f>
        <v/>
      </c>
      <c r="B52" s="12" t="str">
        <f>IF(字段输入模板!P51="","",IF(字段输入模板!C51="",IFERROR(字段输入模板!B51,""),IFERROR(字段输入模板!C51,"")))</f>
        <v/>
      </c>
      <c r="C52" s="12" t="str">
        <f>IF(字段输入模板!P51="","",IFERROR(字段输入模板!I51,""))</f>
        <v/>
      </c>
      <c r="D52" s="9" t="str">
        <f>IF(字段输入模板!P51="","",IFERROR(字段输入模板!Q51,""))</f>
        <v/>
      </c>
      <c r="E52" s="9" t="str">
        <f>IF(字段输入模板!P51="","",IFERROR(字段输入模板!L51,""))</f>
        <v/>
      </c>
      <c r="F52" s="9" t="str">
        <f>IF(字段输入模板!P51="","",IFERROR(字段输入模板!J51,""))</f>
        <v/>
      </c>
      <c r="G52" s="9" t="str">
        <f>IF(字段输入模板!P51="","",IFERROR(字段输入模板!K51,""))</f>
        <v/>
      </c>
      <c r="H52" s="12" t="str">
        <f>IF(字段输入模板!P51="","",IFERROR(字段输入模板!M51,""))</f>
        <v/>
      </c>
      <c r="I52" s="12" t="str">
        <f>IF(字段输入模板!P51="","",IFERROR(字段输入模板!N51,""))</f>
        <v/>
      </c>
      <c r="J52" s="12" t="str">
        <f>IF(字段输入模板!P51="","",IFERROR(字段输入模板!E51,""))</f>
        <v/>
      </c>
      <c r="K52" s="12" t="str">
        <f>IF(字段输入模板!P51="","",IFERROR(字段输入模板!O51,""))</f>
        <v/>
      </c>
      <c r="L52" s="9" t="str">
        <f>IF(字段输入模板!P51="","",IFERROR(字段输入模板!A51,""))</f>
        <v/>
      </c>
      <c r="M52" s="9" t="str">
        <f>IF(字段输入模板!P51="","",IFERROR(字段输入模板!F51,""))</f>
        <v/>
      </c>
      <c r="N52" s="9" t="str">
        <f>IF(字段输入模板!P51="","",IFERROR(字段输入模板!G51,""))</f>
        <v/>
      </c>
      <c r="O52" s="12" t="str">
        <f>IF(字段输入模板!P51="","",IFERROR(字段输入模板!H51,""))</f>
        <v/>
      </c>
      <c r="P52" s="13" t="str">
        <f>IF(字段输入模板!P51="","",IFERROR(字段输入模板!R51,""))</f>
        <v/>
      </c>
    </row>
    <row r="53" spans="1:16">
      <c r="A53" s="12" t="str">
        <f>IF(字段输入模板!P52="","",IFERROR(字段输入模板!P52,""))</f>
        <v/>
      </c>
      <c r="B53" s="12" t="str">
        <f>IF(字段输入模板!P52="","",IF(字段输入模板!C52="",IFERROR(字段输入模板!B52,""),IFERROR(字段输入模板!C52,"")))</f>
        <v/>
      </c>
      <c r="C53" s="12" t="str">
        <f>IF(字段输入模板!P52="","",IFERROR(字段输入模板!I52,""))</f>
        <v/>
      </c>
      <c r="D53" s="9" t="str">
        <f>IF(字段输入模板!P52="","",IFERROR(字段输入模板!Q52,""))</f>
        <v/>
      </c>
      <c r="E53" s="9" t="str">
        <f>IF(字段输入模板!P52="","",IFERROR(字段输入模板!L52,""))</f>
        <v/>
      </c>
      <c r="F53" s="9" t="str">
        <f>IF(字段输入模板!P52="","",IFERROR(字段输入模板!J52,""))</f>
        <v/>
      </c>
      <c r="G53" s="9" t="str">
        <f>IF(字段输入模板!P52="","",IFERROR(字段输入模板!K52,""))</f>
        <v/>
      </c>
      <c r="H53" s="12" t="str">
        <f>IF(字段输入模板!P52="","",IFERROR(字段输入模板!M52,""))</f>
        <v/>
      </c>
      <c r="I53" s="12" t="str">
        <f>IF(字段输入模板!P52="","",IFERROR(字段输入模板!N52,""))</f>
        <v/>
      </c>
      <c r="J53" s="12" t="str">
        <f>IF(字段输入模板!P52="","",IFERROR(字段输入模板!E52,""))</f>
        <v/>
      </c>
      <c r="K53" s="12" t="str">
        <f>IF(字段输入模板!P52="","",IFERROR(字段输入模板!O52,""))</f>
        <v/>
      </c>
      <c r="L53" s="9" t="str">
        <f>IF(字段输入模板!P52="","",IFERROR(字段输入模板!A52,""))</f>
        <v/>
      </c>
      <c r="M53" s="9" t="str">
        <f>IF(字段输入模板!P52="","",IFERROR(字段输入模板!F52,""))</f>
        <v/>
      </c>
      <c r="N53" s="9" t="str">
        <f>IF(字段输入模板!P52="","",IFERROR(字段输入模板!G52,""))</f>
        <v/>
      </c>
      <c r="O53" s="12" t="str">
        <f>IF(字段输入模板!P52="","",IFERROR(字段输入模板!H52,""))</f>
        <v/>
      </c>
      <c r="P53" s="13" t="str">
        <f>IF(字段输入模板!P52="","",IFERROR(字段输入模板!R52,""))</f>
        <v/>
      </c>
    </row>
    <row r="54" spans="1:16">
      <c r="A54" s="12" t="str">
        <f>IF(字段输入模板!P53="","",IFERROR(字段输入模板!P53,""))</f>
        <v/>
      </c>
      <c r="B54" s="12" t="str">
        <f>IF(字段输入模板!P53="","",IF(字段输入模板!C53="",IFERROR(字段输入模板!B53,""),IFERROR(字段输入模板!C53,"")))</f>
        <v/>
      </c>
      <c r="C54" s="12" t="str">
        <f>IF(字段输入模板!P53="","",IFERROR(字段输入模板!I53,""))</f>
        <v/>
      </c>
      <c r="D54" s="9" t="str">
        <f>IF(字段输入模板!P53="","",IFERROR(字段输入模板!Q53,""))</f>
        <v/>
      </c>
      <c r="E54" s="9" t="str">
        <f>IF(字段输入模板!P53="","",IFERROR(字段输入模板!L53,""))</f>
        <v/>
      </c>
      <c r="F54" s="9" t="str">
        <f>IF(字段输入模板!P53="","",IFERROR(字段输入模板!J53,""))</f>
        <v/>
      </c>
      <c r="G54" s="9" t="str">
        <f>IF(字段输入模板!P53="","",IFERROR(字段输入模板!K53,""))</f>
        <v/>
      </c>
      <c r="H54" s="12" t="str">
        <f>IF(字段输入模板!P53="","",IFERROR(字段输入模板!M53,""))</f>
        <v/>
      </c>
      <c r="I54" s="12" t="str">
        <f>IF(字段输入模板!P53="","",IFERROR(字段输入模板!N53,""))</f>
        <v/>
      </c>
      <c r="J54" s="12" t="str">
        <f>IF(字段输入模板!P53="","",IFERROR(字段输入模板!E53,""))</f>
        <v/>
      </c>
      <c r="K54" s="12" t="str">
        <f>IF(字段输入模板!P53="","",IFERROR(字段输入模板!O53,""))</f>
        <v/>
      </c>
      <c r="L54" s="9" t="str">
        <f>IF(字段输入模板!P53="","",IFERROR(字段输入模板!A53,""))</f>
        <v/>
      </c>
      <c r="M54" s="9" t="str">
        <f>IF(字段输入模板!P53="","",IFERROR(字段输入模板!F53,""))</f>
        <v/>
      </c>
      <c r="N54" s="9" t="str">
        <f>IF(字段输入模板!P53="","",IFERROR(字段输入模板!G53,""))</f>
        <v/>
      </c>
      <c r="O54" s="12" t="str">
        <f>IF(字段输入模板!P53="","",IFERROR(字段输入模板!H53,""))</f>
        <v/>
      </c>
      <c r="P54" s="13" t="str">
        <f>IF(字段输入模板!P53="","",IFERROR(字段输入模板!R53,""))</f>
        <v/>
      </c>
    </row>
    <row r="55" spans="1:16">
      <c r="A55" s="12" t="str">
        <f>IF(字段输入模板!P54="","",IFERROR(字段输入模板!P54,""))</f>
        <v/>
      </c>
      <c r="B55" s="12" t="str">
        <f>IF(字段输入模板!P54="","",IF(字段输入模板!C54="",IFERROR(字段输入模板!B54,""),IFERROR(字段输入模板!C54,"")))</f>
        <v/>
      </c>
      <c r="C55" s="12" t="str">
        <f>IF(字段输入模板!P54="","",IFERROR(字段输入模板!I54,""))</f>
        <v/>
      </c>
      <c r="D55" s="9" t="str">
        <f>IF(字段输入模板!P54="","",IFERROR(字段输入模板!Q54,""))</f>
        <v/>
      </c>
      <c r="E55" s="9" t="str">
        <f>IF(字段输入模板!P54="","",IFERROR(字段输入模板!L54,""))</f>
        <v/>
      </c>
      <c r="F55" s="9" t="str">
        <f>IF(字段输入模板!P54="","",IFERROR(字段输入模板!J54,""))</f>
        <v/>
      </c>
      <c r="G55" s="9" t="str">
        <f>IF(字段输入模板!P54="","",IFERROR(字段输入模板!K54,""))</f>
        <v/>
      </c>
      <c r="H55" s="12" t="str">
        <f>IF(字段输入模板!P54="","",IFERROR(字段输入模板!M54,""))</f>
        <v/>
      </c>
      <c r="I55" s="12" t="str">
        <f>IF(字段输入模板!P54="","",IFERROR(字段输入模板!N54,""))</f>
        <v/>
      </c>
      <c r="J55" s="12" t="str">
        <f>IF(字段输入模板!P54="","",IFERROR(字段输入模板!E54,""))</f>
        <v/>
      </c>
      <c r="K55" s="12" t="str">
        <f>IF(字段输入模板!P54="","",IFERROR(字段输入模板!O54,""))</f>
        <v/>
      </c>
      <c r="L55" s="9" t="str">
        <f>IF(字段输入模板!P54="","",IFERROR(字段输入模板!A54,""))</f>
        <v/>
      </c>
      <c r="M55" s="9" t="str">
        <f>IF(字段输入模板!P54="","",IFERROR(字段输入模板!F54,""))</f>
        <v/>
      </c>
      <c r="N55" s="9" t="str">
        <f>IF(字段输入模板!P54="","",IFERROR(字段输入模板!G54,""))</f>
        <v/>
      </c>
      <c r="O55" s="12" t="str">
        <f>IF(字段输入模板!P54="","",IFERROR(字段输入模板!H54,""))</f>
        <v/>
      </c>
      <c r="P55" s="13" t="str">
        <f>IF(字段输入模板!P54="","",IFERROR(字段输入模板!R54,""))</f>
        <v/>
      </c>
    </row>
    <row r="56" spans="1:16">
      <c r="A56" s="12" t="str">
        <f>IF(字段输入模板!P55="","",IFERROR(字段输入模板!P55,""))</f>
        <v/>
      </c>
      <c r="B56" s="12" t="str">
        <f>IF(字段输入模板!P55="","",IF(字段输入模板!C55="",IFERROR(字段输入模板!B55,""),IFERROR(字段输入模板!C55,"")))</f>
        <v/>
      </c>
      <c r="C56" s="12" t="str">
        <f>IF(字段输入模板!P55="","",IFERROR(字段输入模板!I55,""))</f>
        <v/>
      </c>
      <c r="D56" s="9" t="str">
        <f>IF(字段输入模板!P55="","",IFERROR(字段输入模板!Q55,""))</f>
        <v/>
      </c>
      <c r="E56" s="9" t="str">
        <f>IF(字段输入模板!P55="","",IFERROR(字段输入模板!L55,""))</f>
        <v/>
      </c>
      <c r="F56" s="9" t="str">
        <f>IF(字段输入模板!P55="","",IFERROR(字段输入模板!J55,""))</f>
        <v/>
      </c>
      <c r="G56" s="9" t="str">
        <f>IF(字段输入模板!P55="","",IFERROR(字段输入模板!K55,""))</f>
        <v/>
      </c>
      <c r="H56" s="12" t="str">
        <f>IF(字段输入模板!P55="","",IFERROR(字段输入模板!M55,""))</f>
        <v/>
      </c>
      <c r="I56" s="12" t="str">
        <f>IF(字段输入模板!P55="","",IFERROR(字段输入模板!N55,""))</f>
        <v/>
      </c>
      <c r="J56" s="12" t="str">
        <f>IF(字段输入模板!P55="","",IFERROR(字段输入模板!E55,""))</f>
        <v/>
      </c>
      <c r="K56" s="12" t="str">
        <f>IF(字段输入模板!P55="","",IFERROR(字段输入模板!O55,""))</f>
        <v/>
      </c>
      <c r="L56" s="9" t="str">
        <f>IF(字段输入模板!P55="","",IFERROR(字段输入模板!A55,""))</f>
        <v/>
      </c>
      <c r="M56" s="9" t="str">
        <f>IF(字段输入模板!P55="","",IFERROR(字段输入模板!F55,""))</f>
        <v/>
      </c>
      <c r="N56" s="9" t="str">
        <f>IF(字段输入模板!P55="","",IFERROR(字段输入模板!G55,""))</f>
        <v/>
      </c>
      <c r="O56" s="12" t="str">
        <f>IF(字段输入模板!P55="","",IFERROR(字段输入模板!H55,""))</f>
        <v/>
      </c>
      <c r="P56" s="13" t="str">
        <f>IF(字段输入模板!P55="","",IFERROR(字段输入模板!R55,""))</f>
        <v/>
      </c>
    </row>
    <row r="57" spans="1:16">
      <c r="A57" s="12" t="str">
        <f>IF(字段输入模板!P56="","",IFERROR(字段输入模板!P56,""))</f>
        <v/>
      </c>
      <c r="B57" s="12" t="str">
        <f>IF(字段输入模板!P56="","",IF(字段输入模板!C56="",IFERROR(字段输入模板!B56,""),IFERROR(字段输入模板!C56,"")))</f>
        <v/>
      </c>
      <c r="C57" s="12" t="str">
        <f>IF(字段输入模板!P56="","",IFERROR(字段输入模板!I56,""))</f>
        <v/>
      </c>
      <c r="D57" s="9" t="str">
        <f>IF(字段输入模板!P56="","",IFERROR(字段输入模板!Q56,""))</f>
        <v/>
      </c>
      <c r="E57" s="9" t="str">
        <f>IF(字段输入模板!P56="","",IFERROR(字段输入模板!L56,""))</f>
        <v/>
      </c>
      <c r="F57" s="9" t="str">
        <f>IF(字段输入模板!P56="","",IFERROR(字段输入模板!J56,""))</f>
        <v/>
      </c>
      <c r="G57" s="9" t="str">
        <f>IF(字段输入模板!P56="","",IFERROR(字段输入模板!K56,""))</f>
        <v/>
      </c>
      <c r="H57" s="12" t="str">
        <f>IF(字段输入模板!P56="","",IFERROR(字段输入模板!M56,""))</f>
        <v/>
      </c>
      <c r="I57" s="12" t="str">
        <f>IF(字段输入模板!P56="","",IFERROR(字段输入模板!N56,""))</f>
        <v/>
      </c>
      <c r="J57" s="12" t="str">
        <f>IF(字段输入模板!P56="","",IFERROR(字段输入模板!E56,""))</f>
        <v/>
      </c>
      <c r="K57" s="12" t="str">
        <f>IF(字段输入模板!P56="","",IFERROR(字段输入模板!O56,""))</f>
        <v/>
      </c>
      <c r="L57" s="9" t="str">
        <f>IF(字段输入模板!P56="","",IFERROR(字段输入模板!A56,""))</f>
        <v/>
      </c>
      <c r="M57" s="9" t="str">
        <f>IF(字段输入模板!P56="","",IFERROR(字段输入模板!F56,""))</f>
        <v/>
      </c>
      <c r="N57" s="9" t="str">
        <f>IF(字段输入模板!P56="","",IFERROR(字段输入模板!G56,""))</f>
        <v/>
      </c>
      <c r="O57" s="12" t="str">
        <f>IF(字段输入模板!P56="","",IFERROR(字段输入模板!H56,""))</f>
        <v/>
      </c>
      <c r="P57" s="13" t="str">
        <f>IF(字段输入模板!P56="","",IFERROR(字段输入模板!R56,""))</f>
        <v/>
      </c>
    </row>
    <row r="58" spans="1:16">
      <c r="A58" s="12" t="str">
        <f>IF(字段输入模板!P57="","",IFERROR(字段输入模板!P57,""))</f>
        <v/>
      </c>
      <c r="B58" s="12" t="str">
        <f>IF(字段输入模板!P57="","",IF(字段输入模板!C57="",IFERROR(字段输入模板!B57,""),IFERROR(字段输入模板!C57,"")))</f>
        <v/>
      </c>
      <c r="C58" s="12" t="str">
        <f>IF(字段输入模板!P57="","",IFERROR(字段输入模板!I57,""))</f>
        <v/>
      </c>
      <c r="D58" s="9" t="str">
        <f>IF(字段输入模板!P57="","",IFERROR(字段输入模板!Q57,""))</f>
        <v/>
      </c>
      <c r="E58" s="9" t="str">
        <f>IF(字段输入模板!P57="","",IFERROR(字段输入模板!L57,""))</f>
        <v/>
      </c>
      <c r="F58" s="9" t="str">
        <f>IF(字段输入模板!P57="","",IFERROR(字段输入模板!J57,""))</f>
        <v/>
      </c>
      <c r="G58" s="9" t="str">
        <f>IF(字段输入模板!P57="","",IFERROR(字段输入模板!K57,""))</f>
        <v/>
      </c>
      <c r="H58" s="12" t="str">
        <f>IF(字段输入模板!P57="","",IFERROR(字段输入模板!M57,""))</f>
        <v/>
      </c>
      <c r="I58" s="12" t="str">
        <f>IF(字段输入模板!P57="","",IFERROR(字段输入模板!N57,""))</f>
        <v/>
      </c>
      <c r="J58" s="12" t="str">
        <f>IF(字段输入模板!P57="","",IFERROR(字段输入模板!E57,""))</f>
        <v/>
      </c>
      <c r="K58" s="12" t="str">
        <f>IF(字段输入模板!P57="","",IFERROR(字段输入模板!O57,""))</f>
        <v/>
      </c>
      <c r="L58" s="9" t="str">
        <f>IF(字段输入模板!P57="","",IFERROR(字段输入模板!A57,""))</f>
        <v/>
      </c>
      <c r="M58" s="9" t="str">
        <f>IF(字段输入模板!P57="","",IFERROR(字段输入模板!F57,""))</f>
        <v/>
      </c>
      <c r="N58" s="9" t="str">
        <f>IF(字段输入模板!P57="","",IFERROR(字段输入模板!G57,""))</f>
        <v/>
      </c>
      <c r="O58" s="12" t="str">
        <f>IF(字段输入模板!P57="","",IFERROR(字段输入模板!H57,""))</f>
        <v/>
      </c>
      <c r="P58" s="13" t="str">
        <f>IF(字段输入模板!P57="","",IFERROR(字段输入模板!R57,""))</f>
        <v/>
      </c>
    </row>
    <row r="59" spans="1:16">
      <c r="A59" s="12" t="str">
        <f>IF(字段输入模板!P58="","",IFERROR(字段输入模板!P58,""))</f>
        <v/>
      </c>
      <c r="B59" s="12" t="str">
        <f>IF(字段输入模板!P58="","",IF(字段输入模板!C58="",IFERROR(字段输入模板!B58,""),IFERROR(字段输入模板!C58,"")))</f>
        <v/>
      </c>
      <c r="C59" s="12" t="str">
        <f>IF(字段输入模板!P58="","",IFERROR(字段输入模板!I58,""))</f>
        <v/>
      </c>
      <c r="D59" s="9" t="str">
        <f>IF(字段输入模板!P58="","",IFERROR(字段输入模板!Q58,""))</f>
        <v/>
      </c>
      <c r="E59" s="9" t="str">
        <f>IF(字段输入模板!P58="","",IFERROR(字段输入模板!L58,""))</f>
        <v/>
      </c>
      <c r="F59" s="9" t="str">
        <f>IF(字段输入模板!P58="","",IFERROR(字段输入模板!J58,""))</f>
        <v/>
      </c>
      <c r="G59" s="9" t="str">
        <f>IF(字段输入模板!P58="","",IFERROR(字段输入模板!K58,""))</f>
        <v/>
      </c>
      <c r="H59" s="12" t="str">
        <f>IF(字段输入模板!P58="","",IFERROR(字段输入模板!M58,""))</f>
        <v/>
      </c>
      <c r="I59" s="12" t="str">
        <f>IF(字段输入模板!P58="","",IFERROR(字段输入模板!N58,""))</f>
        <v/>
      </c>
      <c r="J59" s="12" t="str">
        <f>IF(字段输入模板!P58="","",IFERROR(字段输入模板!E58,""))</f>
        <v/>
      </c>
      <c r="K59" s="12" t="str">
        <f>IF(字段输入模板!P58="","",IFERROR(字段输入模板!O58,""))</f>
        <v/>
      </c>
      <c r="L59" s="9" t="str">
        <f>IF(字段输入模板!P58="","",IFERROR(字段输入模板!A58,""))</f>
        <v/>
      </c>
      <c r="M59" s="9" t="str">
        <f>IF(字段输入模板!P58="","",IFERROR(字段输入模板!F58,""))</f>
        <v/>
      </c>
      <c r="N59" s="9" t="str">
        <f>IF(字段输入模板!P58="","",IFERROR(字段输入模板!G58,""))</f>
        <v/>
      </c>
      <c r="O59" s="12" t="str">
        <f>IF(字段输入模板!P58="","",IFERROR(字段输入模板!H58,""))</f>
        <v/>
      </c>
      <c r="P59" s="13" t="str">
        <f>IF(字段输入模板!P58="","",IFERROR(字段输入模板!R58,""))</f>
        <v/>
      </c>
    </row>
    <row r="60" spans="1:16">
      <c r="A60" s="12" t="str">
        <f>IF(字段输入模板!P59="","",IFERROR(字段输入模板!P59,""))</f>
        <v/>
      </c>
      <c r="B60" s="12" t="str">
        <f>IF(字段输入模板!P59="","",IF(字段输入模板!C59="",IFERROR(字段输入模板!B59,""),IFERROR(字段输入模板!C59,"")))</f>
        <v/>
      </c>
      <c r="C60" s="12" t="str">
        <f>IF(字段输入模板!P59="","",IFERROR(字段输入模板!I59,""))</f>
        <v/>
      </c>
      <c r="D60" s="9" t="str">
        <f>IF(字段输入模板!P59="","",IFERROR(字段输入模板!Q59,""))</f>
        <v/>
      </c>
      <c r="E60" s="9" t="str">
        <f>IF(字段输入模板!P59="","",IFERROR(字段输入模板!L59,""))</f>
        <v/>
      </c>
      <c r="F60" s="9" t="str">
        <f>IF(字段输入模板!P59="","",IFERROR(字段输入模板!J59,""))</f>
        <v/>
      </c>
      <c r="G60" s="9" t="str">
        <f>IF(字段输入模板!P59="","",IFERROR(字段输入模板!K59,""))</f>
        <v/>
      </c>
      <c r="H60" s="12" t="str">
        <f>IF(字段输入模板!P59="","",IFERROR(字段输入模板!M59,""))</f>
        <v/>
      </c>
      <c r="I60" s="12" t="str">
        <f>IF(字段输入模板!P59="","",IFERROR(字段输入模板!N59,""))</f>
        <v/>
      </c>
      <c r="J60" s="12" t="str">
        <f>IF(字段输入模板!P59="","",IFERROR(字段输入模板!E59,""))</f>
        <v/>
      </c>
      <c r="K60" s="12" t="str">
        <f>IF(字段输入模板!P59="","",IFERROR(字段输入模板!O59,""))</f>
        <v/>
      </c>
      <c r="L60" s="9" t="str">
        <f>IF(字段输入模板!P59="","",IFERROR(字段输入模板!A59,""))</f>
        <v/>
      </c>
      <c r="M60" s="9" t="str">
        <f>IF(字段输入模板!P59="","",IFERROR(字段输入模板!F59,""))</f>
        <v/>
      </c>
      <c r="N60" s="9" t="str">
        <f>IF(字段输入模板!P59="","",IFERROR(字段输入模板!G59,""))</f>
        <v/>
      </c>
      <c r="O60" s="12" t="str">
        <f>IF(字段输入模板!P59="","",IFERROR(字段输入模板!H59,""))</f>
        <v/>
      </c>
      <c r="P60" s="13" t="str">
        <f>IF(字段输入模板!P59="","",IFERROR(字段输入模板!R59,""))</f>
        <v/>
      </c>
    </row>
    <row r="61" spans="1:16">
      <c r="A61" s="12" t="str">
        <f>IF(字段输入模板!P60="","",IFERROR(字段输入模板!P60,""))</f>
        <v/>
      </c>
      <c r="B61" s="12" t="str">
        <f>IF(字段输入模板!P60="","",IF(字段输入模板!C60="",IFERROR(字段输入模板!B60,""),IFERROR(字段输入模板!C60,"")))</f>
        <v/>
      </c>
      <c r="C61" s="12" t="str">
        <f>IF(字段输入模板!P60="","",IFERROR(字段输入模板!I60,""))</f>
        <v/>
      </c>
      <c r="D61" s="9" t="str">
        <f>IF(字段输入模板!P60="","",IFERROR(字段输入模板!Q60,""))</f>
        <v/>
      </c>
      <c r="E61" s="9" t="str">
        <f>IF(字段输入模板!P60="","",IFERROR(字段输入模板!L60,""))</f>
        <v/>
      </c>
      <c r="F61" s="9" t="str">
        <f>IF(字段输入模板!P60="","",IFERROR(字段输入模板!J60,""))</f>
        <v/>
      </c>
      <c r="G61" s="9" t="str">
        <f>IF(字段输入模板!P60="","",IFERROR(字段输入模板!K60,""))</f>
        <v/>
      </c>
      <c r="H61" s="12" t="str">
        <f>IF(字段输入模板!P60="","",IFERROR(字段输入模板!M60,""))</f>
        <v/>
      </c>
      <c r="I61" s="12" t="str">
        <f>IF(字段输入模板!P60="","",IFERROR(字段输入模板!N60,""))</f>
        <v/>
      </c>
      <c r="J61" s="12" t="str">
        <f>IF(字段输入模板!P60="","",IFERROR(字段输入模板!E60,""))</f>
        <v/>
      </c>
      <c r="K61" s="12" t="str">
        <f>IF(字段输入模板!P60="","",IFERROR(字段输入模板!O60,""))</f>
        <v/>
      </c>
      <c r="L61" s="9" t="str">
        <f>IF(字段输入模板!P60="","",IFERROR(字段输入模板!A60,""))</f>
        <v/>
      </c>
      <c r="M61" s="9" t="str">
        <f>IF(字段输入模板!P60="","",IFERROR(字段输入模板!F60,""))</f>
        <v/>
      </c>
      <c r="N61" s="9" t="str">
        <f>IF(字段输入模板!P60="","",IFERROR(字段输入模板!G60,""))</f>
        <v/>
      </c>
      <c r="O61" s="12" t="str">
        <f>IF(字段输入模板!P60="","",IFERROR(字段输入模板!H60,""))</f>
        <v/>
      </c>
      <c r="P61" s="13" t="str">
        <f>IF(字段输入模板!P60="","",IFERROR(字段输入模板!R60,""))</f>
        <v/>
      </c>
    </row>
    <row r="62" spans="1:16">
      <c r="A62" s="12" t="str">
        <f>IF(字段输入模板!P61="","",IFERROR(字段输入模板!P61,""))</f>
        <v/>
      </c>
      <c r="B62" s="12" t="str">
        <f>IF(字段输入模板!P61="","",IF(字段输入模板!C61="",IFERROR(字段输入模板!B61,""),IFERROR(字段输入模板!C61,"")))</f>
        <v/>
      </c>
      <c r="C62" s="12" t="str">
        <f>IF(字段输入模板!P61="","",IFERROR(字段输入模板!I61,""))</f>
        <v/>
      </c>
      <c r="D62" s="9" t="str">
        <f>IF(字段输入模板!P61="","",IFERROR(字段输入模板!Q61,""))</f>
        <v/>
      </c>
      <c r="E62" s="9" t="str">
        <f>IF(字段输入模板!P61="","",IFERROR(字段输入模板!L61,""))</f>
        <v/>
      </c>
      <c r="F62" s="9" t="str">
        <f>IF(字段输入模板!P61="","",IFERROR(字段输入模板!J61,""))</f>
        <v/>
      </c>
      <c r="G62" s="9" t="str">
        <f>IF(字段输入模板!P61="","",IFERROR(字段输入模板!K61,""))</f>
        <v/>
      </c>
      <c r="H62" s="12" t="str">
        <f>IF(字段输入模板!P61="","",IFERROR(字段输入模板!M61,""))</f>
        <v/>
      </c>
      <c r="I62" s="12" t="str">
        <f>IF(字段输入模板!P61="","",IFERROR(字段输入模板!N61,""))</f>
        <v/>
      </c>
      <c r="J62" s="12" t="str">
        <f>IF(字段输入模板!P61="","",IFERROR(字段输入模板!E61,""))</f>
        <v/>
      </c>
      <c r="K62" s="12" t="str">
        <f>IF(字段输入模板!P61="","",IFERROR(字段输入模板!O61,""))</f>
        <v/>
      </c>
      <c r="L62" s="9" t="str">
        <f>IF(字段输入模板!P61="","",IFERROR(字段输入模板!A61,""))</f>
        <v/>
      </c>
      <c r="M62" s="9" t="str">
        <f>IF(字段输入模板!P61="","",IFERROR(字段输入模板!F61,""))</f>
        <v/>
      </c>
      <c r="N62" s="9" t="str">
        <f>IF(字段输入模板!P61="","",IFERROR(字段输入模板!G61,""))</f>
        <v/>
      </c>
      <c r="O62" s="12" t="str">
        <f>IF(字段输入模板!P61="","",IFERROR(字段输入模板!H61,""))</f>
        <v/>
      </c>
      <c r="P62" s="13" t="str">
        <f>IF(字段输入模板!P61="","",IFERROR(字段输入模板!R61,""))</f>
        <v/>
      </c>
    </row>
    <row r="63" spans="1:16">
      <c r="A63" s="12" t="str">
        <f>IF(字段输入模板!P62="","",IFERROR(字段输入模板!P62,""))</f>
        <v/>
      </c>
      <c r="B63" s="12" t="str">
        <f>IF(字段输入模板!P62="","",IF(字段输入模板!C62="",IFERROR(字段输入模板!B62,""),IFERROR(字段输入模板!C62,"")))</f>
        <v/>
      </c>
      <c r="C63" s="12" t="str">
        <f>IF(字段输入模板!P62="","",IFERROR(字段输入模板!I62,""))</f>
        <v/>
      </c>
      <c r="D63" s="9" t="str">
        <f>IF(字段输入模板!P62="","",IFERROR(字段输入模板!Q62,""))</f>
        <v/>
      </c>
      <c r="E63" s="9" t="str">
        <f>IF(字段输入模板!P62="","",IFERROR(字段输入模板!L62,""))</f>
        <v/>
      </c>
      <c r="F63" s="9" t="str">
        <f>IF(字段输入模板!P62="","",IFERROR(字段输入模板!J62,""))</f>
        <v/>
      </c>
      <c r="G63" s="9" t="str">
        <f>IF(字段输入模板!P62="","",IFERROR(字段输入模板!K62,""))</f>
        <v/>
      </c>
      <c r="H63" s="12" t="str">
        <f>IF(字段输入模板!P62="","",IFERROR(字段输入模板!M62,""))</f>
        <v/>
      </c>
      <c r="I63" s="12" t="str">
        <f>IF(字段输入模板!P62="","",IFERROR(字段输入模板!N62,""))</f>
        <v/>
      </c>
      <c r="J63" s="12" t="str">
        <f>IF(字段输入模板!P62="","",IFERROR(字段输入模板!E62,""))</f>
        <v/>
      </c>
      <c r="K63" s="12" t="str">
        <f>IF(字段输入模板!P62="","",IFERROR(字段输入模板!O62,""))</f>
        <v/>
      </c>
      <c r="L63" s="9" t="str">
        <f>IF(字段输入模板!P62="","",IFERROR(字段输入模板!A62,""))</f>
        <v/>
      </c>
      <c r="M63" s="9" t="str">
        <f>IF(字段输入模板!P62="","",IFERROR(字段输入模板!F62,""))</f>
        <v/>
      </c>
      <c r="N63" s="9" t="str">
        <f>IF(字段输入模板!P62="","",IFERROR(字段输入模板!G62,""))</f>
        <v/>
      </c>
      <c r="O63" s="12" t="str">
        <f>IF(字段输入模板!P62="","",IFERROR(字段输入模板!H62,""))</f>
        <v/>
      </c>
      <c r="P63" s="13" t="str">
        <f>IF(字段输入模板!P62="","",IFERROR(字段输入模板!R62,""))</f>
        <v/>
      </c>
    </row>
    <row r="64" spans="1:16">
      <c r="A64" s="12" t="str">
        <f>IF(字段输入模板!P63="","",IFERROR(字段输入模板!P63,""))</f>
        <v/>
      </c>
      <c r="B64" s="12" t="str">
        <f>IF(字段输入模板!P63="","",IF(字段输入模板!C63="",IFERROR(字段输入模板!B63,""),IFERROR(字段输入模板!C63,"")))</f>
        <v/>
      </c>
      <c r="C64" s="12" t="str">
        <f>IF(字段输入模板!P63="","",IFERROR(字段输入模板!I63,""))</f>
        <v/>
      </c>
      <c r="D64" s="9" t="str">
        <f>IF(字段输入模板!P63="","",IFERROR(字段输入模板!Q63,""))</f>
        <v/>
      </c>
      <c r="E64" s="9" t="str">
        <f>IF(字段输入模板!P63="","",IFERROR(字段输入模板!L63,""))</f>
        <v/>
      </c>
      <c r="F64" s="9" t="str">
        <f>IF(字段输入模板!P63="","",IFERROR(字段输入模板!J63,""))</f>
        <v/>
      </c>
      <c r="G64" s="9" t="str">
        <f>IF(字段输入模板!P63="","",IFERROR(字段输入模板!K63,""))</f>
        <v/>
      </c>
      <c r="H64" s="12" t="str">
        <f>IF(字段输入模板!P63="","",IFERROR(字段输入模板!M63,""))</f>
        <v/>
      </c>
      <c r="I64" s="12" t="str">
        <f>IF(字段输入模板!P63="","",IFERROR(字段输入模板!N63,""))</f>
        <v/>
      </c>
      <c r="J64" s="12" t="str">
        <f>IF(字段输入模板!P63="","",IFERROR(字段输入模板!E63,""))</f>
        <v/>
      </c>
      <c r="K64" s="12" t="str">
        <f>IF(字段输入模板!P63="","",IFERROR(字段输入模板!O63,""))</f>
        <v/>
      </c>
      <c r="L64" s="9" t="str">
        <f>IF(字段输入模板!P63="","",IFERROR(字段输入模板!A63,""))</f>
        <v/>
      </c>
      <c r="M64" s="9" t="str">
        <f>IF(字段输入模板!P63="","",IFERROR(字段输入模板!F63,""))</f>
        <v/>
      </c>
      <c r="N64" s="9" t="str">
        <f>IF(字段输入模板!P63="","",IFERROR(字段输入模板!G63,""))</f>
        <v/>
      </c>
      <c r="O64" s="12" t="str">
        <f>IF(字段输入模板!P63="","",IFERROR(字段输入模板!H63,""))</f>
        <v/>
      </c>
      <c r="P64" s="13" t="str">
        <f>IF(字段输入模板!P63="","",IFERROR(字段输入模板!R63,""))</f>
        <v/>
      </c>
    </row>
    <row r="65" spans="1:16">
      <c r="A65" s="12" t="str">
        <f>IF(字段输入模板!P64="","",IFERROR(字段输入模板!P64,""))</f>
        <v/>
      </c>
      <c r="B65" s="12" t="str">
        <f>IF(字段输入模板!P64="","",IF(字段输入模板!C64="",IFERROR(字段输入模板!B64,""),IFERROR(字段输入模板!C64,"")))</f>
        <v/>
      </c>
      <c r="C65" s="12" t="str">
        <f>IF(字段输入模板!P64="","",IFERROR(字段输入模板!I64,""))</f>
        <v/>
      </c>
      <c r="D65" s="9" t="str">
        <f>IF(字段输入模板!P64="","",IFERROR(字段输入模板!Q64,""))</f>
        <v/>
      </c>
      <c r="E65" s="9" t="str">
        <f>IF(字段输入模板!P64="","",IFERROR(字段输入模板!L64,""))</f>
        <v/>
      </c>
      <c r="F65" s="9" t="str">
        <f>IF(字段输入模板!P64="","",IFERROR(字段输入模板!J64,""))</f>
        <v/>
      </c>
      <c r="G65" s="9" t="str">
        <f>IF(字段输入模板!P64="","",IFERROR(字段输入模板!K64,""))</f>
        <v/>
      </c>
      <c r="H65" s="12" t="str">
        <f>IF(字段输入模板!P64="","",IFERROR(字段输入模板!M64,""))</f>
        <v/>
      </c>
      <c r="I65" s="12" t="str">
        <f>IF(字段输入模板!P64="","",IFERROR(字段输入模板!N64,""))</f>
        <v/>
      </c>
      <c r="J65" s="12" t="str">
        <f>IF(字段输入模板!P64="","",IFERROR(字段输入模板!E64,""))</f>
        <v/>
      </c>
      <c r="K65" s="12" t="str">
        <f>IF(字段输入模板!P64="","",IFERROR(字段输入模板!O64,""))</f>
        <v/>
      </c>
      <c r="L65" s="9" t="str">
        <f>IF(字段输入模板!P64="","",IFERROR(字段输入模板!A64,""))</f>
        <v/>
      </c>
      <c r="M65" s="9" t="str">
        <f>IF(字段输入模板!P64="","",IFERROR(字段输入模板!F64,""))</f>
        <v/>
      </c>
      <c r="N65" s="9" t="str">
        <f>IF(字段输入模板!P64="","",IFERROR(字段输入模板!G64,""))</f>
        <v/>
      </c>
      <c r="O65" s="12" t="str">
        <f>IF(字段输入模板!P64="","",IFERROR(字段输入模板!H64,""))</f>
        <v/>
      </c>
      <c r="P65" s="13" t="str">
        <f>IF(字段输入模板!P64="","",IFERROR(字段输入模板!R64,""))</f>
        <v/>
      </c>
    </row>
    <row r="66" spans="1:16">
      <c r="A66" s="12" t="str">
        <f>IF(字段输入模板!P65="","",IFERROR(字段输入模板!P65,""))</f>
        <v/>
      </c>
      <c r="B66" s="12" t="str">
        <f>IF(字段输入模板!P65="","",IF(字段输入模板!C65="",IFERROR(字段输入模板!B65,""),IFERROR(字段输入模板!C65,"")))</f>
        <v/>
      </c>
      <c r="C66" s="12" t="str">
        <f>IF(字段输入模板!P65="","",IFERROR(字段输入模板!I65,""))</f>
        <v/>
      </c>
      <c r="D66" s="9" t="str">
        <f>IF(字段输入模板!P65="","",IFERROR(字段输入模板!Q65,""))</f>
        <v/>
      </c>
      <c r="E66" s="9" t="str">
        <f>IF(字段输入模板!P65="","",IFERROR(字段输入模板!L65,""))</f>
        <v/>
      </c>
      <c r="F66" s="9" t="str">
        <f>IF(字段输入模板!P65="","",IFERROR(字段输入模板!J65,""))</f>
        <v/>
      </c>
      <c r="G66" s="9" t="str">
        <f>IF(字段输入模板!P65="","",IFERROR(字段输入模板!K65,""))</f>
        <v/>
      </c>
      <c r="H66" s="12" t="str">
        <f>IF(字段输入模板!P65="","",IFERROR(字段输入模板!M65,""))</f>
        <v/>
      </c>
      <c r="I66" s="12" t="str">
        <f>IF(字段输入模板!P65="","",IFERROR(字段输入模板!N65,""))</f>
        <v/>
      </c>
      <c r="J66" s="12" t="str">
        <f>IF(字段输入模板!P65="","",IFERROR(字段输入模板!E65,""))</f>
        <v/>
      </c>
      <c r="K66" s="12" t="str">
        <f>IF(字段输入模板!P65="","",IFERROR(字段输入模板!O65,""))</f>
        <v/>
      </c>
      <c r="L66" s="9" t="str">
        <f>IF(字段输入模板!P65="","",IFERROR(字段输入模板!A65,""))</f>
        <v/>
      </c>
      <c r="M66" s="9" t="str">
        <f>IF(字段输入模板!P65="","",IFERROR(字段输入模板!F65,""))</f>
        <v/>
      </c>
      <c r="N66" s="9" t="str">
        <f>IF(字段输入模板!P65="","",IFERROR(字段输入模板!G65,""))</f>
        <v/>
      </c>
      <c r="O66" s="12" t="str">
        <f>IF(字段输入模板!P65="","",IFERROR(字段输入模板!H65,""))</f>
        <v/>
      </c>
      <c r="P66" s="13" t="str">
        <f>IF(字段输入模板!P65="","",IFERROR(字段输入模板!R65,""))</f>
        <v/>
      </c>
    </row>
    <row r="67" spans="1:16">
      <c r="A67" s="12" t="str">
        <f>IF(字段输入模板!P66="","",IFERROR(字段输入模板!P66,""))</f>
        <v/>
      </c>
      <c r="B67" s="12" t="str">
        <f>IF(字段输入模板!P66="","",IF(字段输入模板!C66="",IFERROR(字段输入模板!B66,""),IFERROR(字段输入模板!C66,"")))</f>
        <v/>
      </c>
      <c r="C67" s="12" t="str">
        <f>IF(字段输入模板!P66="","",IFERROR(字段输入模板!I66,""))</f>
        <v/>
      </c>
      <c r="D67" s="9" t="str">
        <f>IF(字段输入模板!P66="","",IFERROR(字段输入模板!Q66,""))</f>
        <v/>
      </c>
      <c r="E67" s="9" t="str">
        <f>IF(字段输入模板!P66="","",IFERROR(字段输入模板!L66,""))</f>
        <v/>
      </c>
      <c r="F67" s="9" t="str">
        <f>IF(字段输入模板!P66="","",IFERROR(字段输入模板!J66,""))</f>
        <v/>
      </c>
      <c r="G67" s="9" t="str">
        <f>IF(字段输入模板!P66="","",IFERROR(字段输入模板!K66,""))</f>
        <v/>
      </c>
      <c r="H67" s="12" t="str">
        <f>IF(字段输入模板!P66="","",IFERROR(字段输入模板!M66,""))</f>
        <v/>
      </c>
      <c r="I67" s="12" t="str">
        <f>IF(字段输入模板!P66="","",IFERROR(字段输入模板!N66,""))</f>
        <v/>
      </c>
      <c r="J67" s="12" t="str">
        <f>IF(字段输入模板!P66="","",IFERROR(字段输入模板!E66,""))</f>
        <v/>
      </c>
      <c r="K67" s="12" t="str">
        <f>IF(字段输入模板!P66="","",IFERROR(字段输入模板!O66,""))</f>
        <v/>
      </c>
      <c r="L67" s="9" t="str">
        <f>IF(字段输入模板!P66="","",IFERROR(字段输入模板!A66,""))</f>
        <v/>
      </c>
      <c r="M67" s="9" t="str">
        <f>IF(字段输入模板!P66="","",IFERROR(字段输入模板!F66,""))</f>
        <v/>
      </c>
      <c r="N67" s="9" t="str">
        <f>IF(字段输入模板!P66="","",IFERROR(字段输入模板!G66,""))</f>
        <v/>
      </c>
      <c r="O67" s="12" t="str">
        <f>IF(字段输入模板!P66="","",IFERROR(字段输入模板!H66,""))</f>
        <v/>
      </c>
      <c r="P67" s="13" t="str">
        <f>IF(字段输入模板!P66="","",IFERROR(字段输入模板!R66,""))</f>
        <v/>
      </c>
    </row>
    <row r="68" spans="1:16">
      <c r="A68" s="12" t="str">
        <f>IF(字段输入模板!P67="","",IFERROR(字段输入模板!P67,""))</f>
        <v/>
      </c>
      <c r="B68" s="12" t="str">
        <f>IF(字段输入模板!P67="","",IF(字段输入模板!C67="",IFERROR(字段输入模板!B67,""),IFERROR(字段输入模板!C67,"")))</f>
        <v/>
      </c>
      <c r="C68" s="12" t="str">
        <f>IF(字段输入模板!P67="","",IFERROR(字段输入模板!I67,""))</f>
        <v/>
      </c>
      <c r="D68" s="9" t="str">
        <f>IF(字段输入模板!P67="","",IFERROR(字段输入模板!Q67,""))</f>
        <v/>
      </c>
      <c r="E68" s="9" t="str">
        <f>IF(字段输入模板!P67="","",IFERROR(字段输入模板!L67,""))</f>
        <v/>
      </c>
      <c r="F68" s="9" t="str">
        <f>IF(字段输入模板!P67="","",IFERROR(字段输入模板!J67,""))</f>
        <v/>
      </c>
      <c r="G68" s="9" t="str">
        <f>IF(字段输入模板!P67="","",IFERROR(字段输入模板!K67,""))</f>
        <v/>
      </c>
      <c r="H68" s="12" t="str">
        <f>IF(字段输入模板!P67="","",IFERROR(字段输入模板!M67,""))</f>
        <v/>
      </c>
      <c r="I68" s="12" t="str">
        <f>IF(字段输入模板!P67="","",IFERROR(字段输入模板!N67,""))</f>
        <v/>
      </c>
      <c r="J68" s="12" t="str">
        <f>IF(字段输入模板!P67="","",IFERROR(字段输入模板!E67,""))</f>
        <v/>
      </c>
      <c r="K68" s="12" t="str">
        <f>IF(字段输入模板!P67="","",IFERROR(字段输入模板!O67,""))</f>
        <v/>
      </c>
      <c r="L68" s="9" t="str">
        <f>IF(字段输入模板!P67="","",IFERROR(字段输入模板!A67,""))</f>
        <v/>
      </c>
      <c r="M68" s="9" t="str">
        <f>IF(字段输入模板!P67="","",IFERROR(字段输入模板!F67,""))</f>
        <v/>
      </c>
      <c r="N68" s="9" t="str">
        <f>IF(字段输入模板!P67="","",IFERROR(字段输入模板!G67,""))</f>
        <v/>
      </c>
      <c r="O68" s="12" t="str">
        <f>IF(字段输入模板!P67="","",IFERROR(字段输入模板!H67,""))</f>
        <v/>
      </c>
      <c r="P68" s="13" t="str">
        <f>IF(字段输入模板!P67="","",IFERROR(字段输入模板!R67,""))</f>
        <v/>
      </c>
    </row>
    <row r="69" spans="1:16">
      <c r="A69" s="12" t="str">
        <f>IF(字段输入模板!P68="","",IFERROR(字段输入模板!P68,""))</f>
        <v/>
      </c>
      <c r="B69" s="12" t="str">
        <f>IF(字段输入模板!P68="","",IF(字段输入模板!C68="",IFERROR(字段输入模板!B68,""),IFERROR(字段输入模板!C68,"")))</f>
        <v/>
      </c>
      <c r="C69" s="12" t="str">
        <f>IF(字段输入模板!P68="","",IFERROR(字段输入模板!I68,""))</f>
        <v/>
      </c>
      <c r="D69" s="9" t="str">
        <f>IF(字段输入模板!P68="","",IFERROR(字段输入模板!Q68,""))</f>
        <v/>
      </c>
      <c r="E69" s="9" t="str">
        <f>IF(字段输入模板!P68="","",IFERROR(字段输入模板!L68,""))</f>
        <v/>
      </c>
      <c r="F69" s="9" t="str">
        <f>IF(字段输入模板!P68="","",IFERROR(字段输入模板!J68,""))</f>
        <v/>
      </c>
      <c r="G69" s="9" t="str">
        <f>IF(字段输入模板!P68="","",IFERROR(字段输入模板!K68,""))</f>
        <v/>
      </c>
      <c r="H69" s="12" t="str">
        <f>IF(字段输入模板!P68="","",IFERROR(字段输入模板!M68,""))</f>
        <v/>
      </c>
      <c r="I69" s="12" t="str">
        <f>IF(字段输入模板!P68="","",IFERROR(字段输入模板!N68,""))</f>
        <v/>
      </c>
      <c r="J69" s="12" t="str">
        <f>IF(字段输入模板!P68="","",IFERROR(字段输入模板!E68,""))</f>
        <v/>
      </c>
      <c r="K69" s="12" t="str">
        <f>IF(字段输入模板!P68="","",IFERROR(字段输入模板!O68,""))</f>
        <v/>
      </c>
      <c r="L69" s="9" t="str">
        <f>IF(字段输入模板!P68="","",IFERROR(字段输入模板!A68,""))</f>
        <v/>
      </c>
      <c r="M69" s="9" t="str">
        <f>IF(字段输入模板!P68="","",IFERROR(字段输入模板!F68,""))</f>
        <v/>
      </c>
      <c r="N69" s="9" t="str">
        <f>IF(字段输入模板!P68="","",IFERROR(字段输入模板!G68,""))</f>
        <v/>
      </c>
      <c r="O69" s="12" t="str">
        <f>IF(字段输入模板!P68="","",IFERROR(字段输入模板!H68,""))</f>
        <v/>
      </c>
      <c r="P69" s="13" t="str">
        <f>IF(字段输入模板!P68="","",IFERROR(字段输入模板!R68,""))</f>
        <v/>
      </c>
    </row>
    <row r="70" spans="1:16">
      <c r="A70" s="12" t="str">
        <f>IF(字段输入模板!P69="","",IFERROR(字段输入模板!P69,""))</f>
        <v/>
      </c>
      <c r="B70" s="12" t="str">
        <f>IF(字段输入模板!P69="","",IF(字段输入模板!C69="",IFERROR(字段输入模板!B69,""),IFERROR(字段输入模板!C69,"")))</f>
        <v/>
      </c>
      <c r="C70" s="12" t="str">
        <f>IF(字段输入模板!P69="","",IFERROR(字段输入模板!I69,""))</f>
        <v/>
      </c>
      <c r="D70" s="9" t="str">
        <f>IF(字段输入模板!P69="","",IFERROR(字段输入模板!Q69,""))</f>
        <v/>
      </c>
      <c r="E70" s="9" t="str">
        <f>IF(字段输入模板!P69="","",IFERROR(字段输入模板!L69,""))</f>
        <v/>
      </c>
      <c r="F70" s="9" t="str">
        <f>IF(字段输入模板!P69="","",IFERROR(字段输入模板!J69,""))</f>
        <v/>
      </c>
      <c r="G70" s="9" t="str">
        <f>IF(字段输入模板!P69="","",IFERROR(字段输入模板!K69,""))</f>
        <v/>
      </c>
      <c r="H70" s="12" t="str">
        <f>IF(字段输入模板!P69="","",IFERROR(字段输入模板!M69,""))</f>
        <v/>
      </c>
      <c r="I70" s="12" t="str">
        <f>IF(字段输入模板!P69="","",IFERROR(字段输入模板!N69,""))</f>
        <v/>
      </c>
      <c r="J70" s="12" t="str">
        <f>IF(字段输入模板!P69="","",IFERROR(字段输入模板!E69,""))</f>
        <v/>
      </c>
      <c r="K70" s="12" t="str">
        <f>IF(字段输入模板!P69="","",IFERROR(字段输入模板!O69,""))</f>
        <v/>
      </c>
      <c r="L70" s="9" t="str">
        <f>IF(字段输入模板!P69="","",IFERROR(字段输入模板!A69,""))</f>
        <v/>
      </c>
      <c r="M70" s="9" t="str">
        <f>IF(字段输入模板!P69="","",IFERROR(字段输入模板!F69,""))</f>
        <v/>
      </c>
      <c r="N70" s="9" t="str">
        <f>IF(字段输入模板!P69="","",IFERROR(字段输入模板!G69,""))</f>
        <v/>
      </c>
      <c r="O70" s="12" t="str">
        <f>IF(字段输入模板!P69="","",IFERROR(字段输入模板!H69,""))</f>
        <v/>
      </c>
      <c r="P70" s="13" t="str">
        <f>IF(字段输入模板!P69="","",IFERROR(字段输入模板!R69,""))</f>
        <v/>
      </c>
    </row>
    <row r="71" spans="1:16">
      <c r="A71" s="12" t="str">
        <f>IF(字段输入模板!P70="","",IFERROR(字段输入模板!P70,""))</f>
        <v/>
      </c>
      <c r="B71" s="12" t="str">
        <f>IF(字段输入模板!P70="","",IF(字段输入模板!C70="",IFERROR(字段输入模板!B70,""),IFERROR(字段输入模板!C70,"")))</f>
        <v/>
      </c>
      <c r="C71" s="12" t="str">
        <f>IF(字段输入模板!P70="","",IFERROR(字段输入模板!I70,""))</f>
        <v/>
      </c>
      <c r="D71" s="9" t="str">
        <f>IF(字段输入模板!P70="","",IFERROR(字段输入模板!Q70,""))</f>
        <v/>
      </c>
      <c r="E71" s="9" t="str">
        <f>IF(字段输入模板!P70="","",IFERROR(字段输入模板!L70,""))</f>
        <v/>
      </c>
      <c r="F71" s="9" t="str">
        <f>IF(字段输入模板!P70="","",IFERROR(字段输入模板!J70,""))</f>
        <v/>
      </c>
      <c r="G71" s="9" t="str">
        <f>IF(字段输入模板!P70="","",IFERROR(字段输入模板!K70,""))</f>
        <v/>
      </c>
      <c r="H71" s="12" t="str">
        <f>IF(字段输入模板!P70="","",IFERROR(字段输入模板!M70,""))</f>
        <v/>
      </c>
      <c r="I71" s="12" t="str">
        <f>IF(字段输入模板!P70="","",IFERROR(字段输入模板!N70,""))</f>
        <v/>
      </c>
      <c r="J71" s="12" t="str">
        <f>IF(字段输入模板!P70="","",IFERROR(字段输入模板!E70,""))</f>
        <v/>
      </c>
      <c r="K71" s="12" t="str">
        <f>IF(字段输入模板!P70="","",IFERROR(字段输入模板!O70,""))</f>
        <v/>
      </c>
      <c r="L71" s="9" t="str">
        <f>IF(字段输入模板!P70="","",IFERROR(字段输入模板!A70,""))</f>
        <v/>
      </c>
      <c r="M71" s="9" t="str">
        <f>IF(字段输入模板!P70="","",IFERROR(字段输入模板!F70,""))</f>
        <v/>
      </c>
      <c r="N71" s="9" t="str">
        <f>IF(字段输入模板!P70="","",IFERROR(字段输入模板!G70,""))</f>
        <v/>
      </c>
      <c r="O71" s="12" t="str">
        <f>IF(字段输入模板!P70="","",IFERROR(字段输入模板!H70,""))</f>
        <v/>
      </c>
      <c r="P71" s="13" t="str">
        <f>IF(字段输入模板!P70="","",IFERROR(字段输入模板!R70,""))</f>
        <v/>
      </c>
    </row>
    <row r="72" spans="1:16">
      <c r="A72" s="12" t="str">
        <f>IF(字段输入模板!P71="","",IFERROR(字段输入模板!P71,""))</f>
        <v/>
      </c>
      <c r="B72" s="12" t="str">
        <f>IF(字段输入模板!P71="","",IF(字段输入模板!C71="",IFERROR(字段输入模板!B71,""),IFERROR(字段输入模板!C71,"")))</f>
        <v/>
      </c>
      <c r="C72" s="12" t="str">
        <f>IF(字段输入模板!P71="","",IFERROR(字段输入模板!I71,""))</f>
        <v/>
      </c>
      <c r="D72" s="9" t="str">
        <f>IF(字段输入模板!P71="","",IFERROR(字段输入模板!Q71,""))</f>
        <v/>
      </c>
      <c r="E72" s="9" t="str">
        <f>IF(字段输入模板!P71="","",IFERROR(字段输入模板!L71,""))</f>
        <v/>
      </c>
      <c r="F72" s="9" t="str">
        <f>IF(字段输入模板!P71="","",IFERROR(字段输入模板!J71,""))</f>
        <v/>
      </c>
      <c r="G72" s="9" t="str">
        <f>IF(字段输入模板!P71="","",IFERROR(字段输入模板!K71,""))</f>
        <v/>
      </c>
      <c r="H72" s="12" t="str">
        <f>IF(字段输入模板!P71="","",IFERROR(字段输入模板!M71,""))</f>
        <v/>
      </c>
      <c r="I72" s="12" t="str">
        <f>IF(字段输入模板!P71="","",IFERROR(字段输入模板!N71,""))</f>
        <v/>
      </c>
      <c r="J72" s="12" t="str">
        <f>IF(字段输入模板!P71="","",IFERROR(字段输入模板!E71,""))</f>
        <v/>
      </c>
      <c r="K72" s="12" t="str">
        <f>IF(字段输入模板!P71="","",IFERROR(字段输入模板!O71,""))</f>
        <v/>
      </c>
      <c r="L72" s="9" t="str">
        <f>IF(字段输入模板!P71="","",IFERROR(字段输入模板!A71,""))</f>
        <v/>
      </c>
      <c r="M72" s="9" t="str">
        <f>IF(字段输入模板!P71="","",IFERROR(字段输入模板!F71,""))</f>
        <v/>
      </c>
      <c r="N72" s="9" t="str">
        <f>IF(字段输入模板!P71="","",IFERROR(字段输入模板!G71,""))</f>
        <v/>
      </c>
      <c r="O72" s="12" t="str">
        <f>IF(字段输入模板!P71="","",IFERROR(字段输入模板!H71,""))</f>
        <v/>
      </c>
      <c r="P72" s="13" t="str">
        <f>IF(字段输入模板!P71="","",IFERROR(字段输入模板!R71,""))</f>
        <v/>
      </c>
    </row>
    <row r="73" spans="1:16">
      <c r="A73" s="12" t="str">
        <f>IF(字段输入模板!P72="","",IFERROR(字段输入模板!P72,""))</f>
        <v/>
      </c>
      <c r="B73" s="12" t="str">
        <f>IF(字段输入模板!P72="","",IF(字段输入模板!C72="",IFERROR(字段输入模板!B72,""),IFERROR(字段输入模板!C72,"")))</f>
        <v/>
      </c>
      <c r="C73" s="12" t="str">
        <f>IF(字段输入模板!P72="","",IFERROR(字段输入模板!I72,""))</f>
        <v/>
      </c>
      <c r="D73" s="9" t="str">
        <f>IF(字段输入模板!P72="","",IFERROR(字段输入模板!Q72,""))</f>
        <v/>
      </c>
      <c r="E73" s="9" t="str">
        <f>IF(字段输入模板!P72="","",IFERROR(字段输入模板!L72,""))</f>
        <v/>
      </c>
      <c r="F73" s="9" t="str">
        <f>IF(字段输入模板!P72="","",IFERROR(字段输入模板!J72,""))</f>
        <v/>
      </c>
      <c r="G73" s="9" t="str">
        <f>IF(字段输入模板!P72="","",IFERROR(字段输入模板!K72,""))</f>
        <v/>
      </c>
      <c r="H73" s="12" t="str">
        <f>IF(字段输入模板!P72="","",IFERROR(字段输入模板!M72,""))</f>
        <v/>
      </c>
      <c r="I73" s="12" t="str">
        <f>IF(字段输入模板!P72="","",IFERROR(字段输入模板!N72,""))</f>
        <v/>
      </c>
      <c r="J73" s="12" t="str">
        <f>IF(字段输入模板!P72="","",IFERROR(字段输入模板!E72,""))</f>
        <v/>
      </c>
      <c r="K73" s="12" t="str">
        <f>IF(字段输入模板!P72="","",IFERROR(字段输入模板!O72,""))</f>
        <v/>
      </c>
      <c r="L73" s="9" t="str">
        <f>IF(字段输入模板!P72="","",IFERROR(字段输入模板!A72,""))</f>
        <v/>
      </c>
      <c r="M73" s="9" t="str">
        <f>IF(字段输入模板!P72="","",IFERROR(字段输入模板!F72,""))</f>
        <v/>
      </c>
      <c r="N73" s="9" t="str">
        <f>IF(字段输入模板!P72="","",IFERROR(字段输入模板!G72,""))</f>
        <v/>
      </c>
      <c r="O73" s="12" t="str">
        <f>IF(字段输入模板!P72="","",IFERROR(字段输入模板!H72,""))</f>
        <v/>
      </c>
      <c r="P73" s="13" t="str">
        <f>IF(字段输入模板!P72="","",IFERROR(字段输入模板!R72,""))</f>
        <v/>
      </c>
    </row>
    <row r="74" spans="1:16">
      <c r="A74" s="12" t="str">
        <f>IF(字段输入模板!P73="","",IFERROR(字段输入模板!P73,""))</f>
        <v/>
      </c>
      <c r="B74" s="12" t="str">
        <f>IF(字段输入模板!P73="","",IF(字段输入模板!C73="",IFERROR(字段输入模板!B73,""),IFERROR(字段输入模板!C73,"")))</f>
        <v/>
      </c>
      <c r="C74" s="12" t="str">
        <f>IF(字段输入模板!P73="","",IFERROR(字段输入模板!I73,""))</f>
        <v/>
      </c>
      <c r="D74" s="9" t="str">
        <f>IF(字段输入模板!P73="","",IFERROR(字段输入模板!Q73,""))</f>
        <v/>
      </c>
      <c r="E74" s="9" t="str">
        <f>IF(字段输入模板!P73="","",IFERROR(字段输入模板!L73,""))</f>
        <v/>
      </c>
      <c r="F74" s="9" t="str">
        <f>IF(字段输入模板!P73="","",IFERROR(字段输入模板!J73,""))</f>
        <v/>
      </c>
      <c r="G74" s="9" t="str">
        <f>IF(字段输入模板!P73="","",IFERROR(字段输入模板!K73,""))</f>
        <v/>
      </c>
      <c r="H74" s="12" t="str">
        <f>IF(字段输入模板!P73="","",IFERROR(字段输入模板!M73,""))</f>
        <v/>
      </c>
      <c r="I74" s="12" t="str">
        <f>IF(字段输入模板!P73="","",IFERROR(字段输入模板!N73,""))</f>
        <v/>
      </c>
      <c r="J74" s="12" t="str">
        <f>IF(字段输入模板!P73="","",IFERROR(字段输入模板!E73,""))</f>
        <v/>
      </c>
      <c r="K74" s="12" t="str">
        <f>IF(字段输入模板!P73="","",IFERROR(字段输入模板!O73,""))</f>
        <v/>
      </c>
      <c r="L74" s="9" t="str">
        <f>IF(字段输入模板!P73="","",IFERROR(字段输入模板!A73,""))</f>
        <v/>
      </c>
      <c r="M74" s="9" t="str">
        <f>IF(字段输入模板!P73="","",IFERROR(字段输入模板!F73,""))</f>
        <v/>
      </c>
      <c r="N74" s="9" t="str">
        <f>IF(字段输入模板!P73="","",IFERROR(字段输入模板!G73,""))</f>
        <v/>
      </c>
      <c r="O74" s="12" t="str">
        <f>IF(字段输入模板!P73="","",IFERROR(字段输入模板!H73,""))</f>
        <v/>
      </c>
      <c r="P74" s="13" t="str">
        <f>IF(字段输入模板!P73="","",IFERROR(字段输入模板!R73,""))</f>
        <v/>
      </c>
    </row>
    <row r="75" spans="1:16">
      <c r="A75" s="12" t="str">
        <f>IF(字段输入模板!P74="","",IFERROR(字段输入模板!P74,""))</f>
        <v/>
      </c>
      <c r="B75" s="12" t="str">
        <f>IF(字段输入模板!P74="","",IF(字段输入模板!C74="",IFERROR(字段输入模板!B74,""),IFERROR(字段输入模板!C74,"")))</f>
        <v/>
      </c>
      <c r="C75" s="12" t="str">
        <f>IF(字段输入模板!P74="","",IFERROR(字段输入模板!I74,""))</f>
        <v/>
      </c>
      <c r="D75" s="9" t="str">
        <f>IF(字段输入模板!P74="","",IFERROR(字段输入模板!Q74,""))</f>
        <v/>
      </c>
      <c r="E75" s="9" t="str">
        <f>IF(字段输入模板!P74="","",IFERROR(字段输入模板!L74,""))</f>
        <v/>
      </c>
      <c r="F75" s="9" t="str">
        <f>IF(字段输入模板!P74="","",IFERROR(字段输入模板!J74,""))</f>
        <v/>
      </c>
      <c r="G75" s="9" t="str">
        <f>IF(字段输入模板!P74="","",IFERROR(字段输入模板!K74,""))</f>
        <v/>
      </c>
      <c r="H75" s="12" t="str">
        <f>IF(字段输入模板!P74="","",IFERROR(字段输入模板!M74,""))</f>
        <v/>
      </c>
      <c r="I75" s="12" t="str">
        <f>IF(字段输入模板!P74="","",IFERROR(字段输入模板!N74,""))</f>
        <v/>
      </c>
      <c r="J75" s="12" t="str">
        <f>IF(字段输入模板!P74="","",IFERROR(字段输入模板!E74,""))</f>
        <v/>
      </c>
      <c r="K75" s="12" t="str">
        <f>IF(字段输入模板!P74="","",IFERROR(字段输入模板!O74,""))</f>
        <v/>
      </c>
      <c r="L75" s="9" t="str">
        <f>IF(字段输入模板!P74="","",IFERROR(字段输入模板!A74,""))</f>
        <v/>
      </c>
      <c r="M75" s="9" t="str">
        <f>IF(字段输入模板!P74="","",IFERROR(字段输入模板!F74,""))</f>
        <v/>
      </c>
      <c r="N75" s="9" t="str">
        <f>IF(字段输入模板!P74="","",IFERROR(字段输入模板!G74,""))</f>
        <v/>
      </c>
      <c r="O75" s="12" t="str">
        <f>IF(字段输入模板!P74="","",IFERROR(字段输入模板!H74,""))</f>
        <v/>
      </c>
      <c r="P75" s="13" t="str">
        <f>IF(字段输入模板!P74="","",IFERROR(字段输入模板!R74,""))</f>
        <v/>
      </c>
    </row>
    <row r="76" spans="1:16">
      <c r="A76" s="12" t="str">
        <f>IF(字段输入模板!P75="","",IFERROR(字段输入模板!P75,""))</f>
        <v/>
      </c>
      <c r="B76" s="12" t="str">
        <f>IF(字段输入模板!P75="","",IF(字段输入模板!C75="",IFERROR(字段输入模板!B75,""),IFERROR(字段输入模板!C75,"")))</f>
        <v/>
      </c>
      <c r="C76" s="12" t="str">
        <f>IF(字段输入模板!P75="","",IFERROR(字段输入模板!I75,""))</f>
        <v/>
      </c>
      <c r="D76" s="9" t="str">
        <f>IF(字段输入模板!P75="","",IFERROR(字段输入模板!Q75,""))</f>
        <v/>
      </c>
      <c r="E76" s="9" t="str">
        <f>IF(字段输入模板!P75="","",IFERROR(字段输入模板!L75,""))</f>
        <v/>
      </c>
      <c r="F76" s="9" t="str">
        <f>IF(字段输入模板!P75="","",IFERROR(字段输入模板!J75,""))</f>
        <v/>
      </c>
      <c r="G76" s="9" t="str">
        <f>IF(字段输入模板!P75="","",IFERROR(字段输入模板!K75,""))</f>
        <v/>
      </c>
      <c r="H76" s="12" t="str">
        <f>IF(字段输入模板!P75="","",IFERROR(字段输入模板!M75,""))</f>
        <v/>
      </c>
      <c r="I76" s="12" t="str">
        <f>IF(字段输入模板!P75="","",IFERROR(字段输入模板!N75,""))</f>
        <v/>
      </c>
      <c r="J76" s="12" t="str">
        <f>IF(字段输入模板!P75="","",IFERROR(字段输入模板!E75,""))</f>
        <v/>
      </c>
      <c r="K76" s="12" t="str">
        <f>IF(字段输入模板!P75="","",IFERROR(字段输入模板!O75,""))</f>
        <v/>
      </c>
      <c r="L76" s="9" t="str">
        <f>IF(字段输入模板!P75="","",IFERROR(字段输入模板!A75,""))</f>
        <v/>
      </c>
      <c r="M76" s="9" t="str">
        <f>IF(字段输入模板!P75="","",IFERROR(字段输入模板!F75,""))</f>
        <v/>
      </c>
      <c r="N76" s="9" t="str">
        <f>IF(字段输入模板!P75="","",IFERROR(字段输入模板!G75,""))</f>
        <v/>
      </c>
      <c r="O76" s="12" t="str">
        <f>IF(字段输入模板!P75="","",IFERROR(字段输入模板!H75,""))</f>
        <v/>
      </c>
      <c r="P76" s="13" t="str">
        <f>IF(字段输入模板!P75="","",IFERROR(字段输入模板!R75,""))</f>
        <v/>
      </c>
    </row>
    <row r="77" spans="1:16">
      <c r="A77" s="12" t="str">
        <f>IF(字段输入模板!P76="","",IFERROR(字段输入模板!P76,""))</f>
        <v/>
      </c>
      <c r="B77" s="12" t="str">
        <f>IF(字段输入模板!P76="","",IF(字段输入模板!C76="",IFERROR(字段输入模板!B76,""),IFERROR(字段输入模板!C76,"")))</f>
        <v/>
      </c>
      <c r="C77" s="12" t="str">
        <f>IF(字段输入模板!P76="","",IFERROR(字段输入模板!I76,""))</f>
        <v/>
      </c>
      <c r="D77" s="9" t="str">
        <f>IF(字段输入模板!P76="","",IFERROR(字段输入模板!Q76,""))</f>
        <v/>
      </c>
      <c r="E77" s="9" t="str">
        <f>IF(字段输入模板!P76="","",IFERROR(字段输入模板!L76,""))</f>
        <v/>
      </c>
      <c r="F77" s="9" t="str">
        <f>IF(字段输入模板!P76="","",IFERROR(字段输入模板!J76,""))</f>
        <v/>
      </c>
      <c r="G77" s="9" t="str">
        <f>IF(字段输入模板!P76="","",IFERROR(字段输入模板!K76,""))</f>
        <v/>
      </c>
      <c r="H77" s="12" t="str">
        <f>IF(字段输入模板!P76="","",IFERROR(字段输入模板!M76,""))</f>
        <v/>
      </c>
      <c r="I77" s="12" t="str">
        <f>IF(字段输入模板!P76="","",IFERROR(字段输入模板!N76,""))</f>
        <v/>
      </c>
      <c r="J77" s="12" t="str">
        <f>IF(字段输入模板!P76="","",IFERROR(字段输入模板!E76,""))</f>
        <v/>
      </c>
      <c r="K77" s="12" t="str">
        <f>IF(字段输入模板!P76="","",IFERROR(字段输入模板!O76,""))</f>
        <v/>
      </c>
      <c r="L77" s="9" t="str">
        <f>IF(字段输入模板!P76="","",IFERROR(字段输入模板!A76,""))</f>
        <v/>
      </c>
      <c r="M77" s="9" t="str">
        <f>IF(字段输入模板!P76="","",IFERROR(字段输入模板!F76,""))</f>
        <v/>
      </c>
      <c r="N77" s="9" t="str">
        <f>IF(字段输入模板!P76="","",IFERROR(字段输入模板!G76,""))</f>
        <v/>
      </c>
      <c r="O77" s="12" t="str">
        <f>IF(字段输入模板!P76="","",IFERROR(字段输入模板!H76,""))</f>
        <v/>
      </c>
      <c r="P77" s="13" t="str">
        <f>IF(字段输入模板!P76="","",IFERROR(字段输入模板!R76,""))</f>
        <v/>
      </c>
    </row>
    <row r="78" spans="1:16">
      <c r="A78" s="12" t="str">
        <f>IF(字段输入模板!P77="","",IFERROR(字段输入模板!P77,""))</f>
        <v/>
      </c>
      <c r="B78" s="12" t="str">
        <f>IF(字段输入模板!P77="","",IF(字段输入模板!C77="",IFERROR(字段输入模板!B77,""),IFERROR(字段输入模板!C77,"")))</f>
        <v/>
      </c>
      <c r="C78" s="12" t="str">
        <f>IF(字段输入模板!P77="","",IFERROR(字段输入模板!I77,""))</f>
        <v/>
      </c>
      <c r="D78" s="9" t="str">
        <f>IF(字段输入模板!P77="","",IFERROR(字段输入模板!Q77,""))</f>
        <v/>
      </c>
      <c r="E78" s="9" t="str">
        <f>IF(字段输入模板!P77="","",IFERROR(字段输入模板!L77,""))</f>
        <v/>
      </c>
      <c r="F78" s="9" t="str">
        <f>IF(字段输入模板!P77="","",IFERROR(字段输入模板!J77,""))</f>
        <v/>
      </c>
      <c r="G78" s="9" t="str">
        <f>IF(字段输入模板!P77="","",IFERROR(字段输入模板!K77,""))</f>
        <v/>
      </c>
      <c r="H78" s="12" t="str">
        <f>IF(字段输入模板!P77="","",IFERROR(字段输入模板!M77,""))</f>
        <v/>
      </c>
      <c r="I78" s="12" t="str">
        <f>IF(字段输入模板!P77="","",IFERROR(字段输入模板!N77,""))</f>
        <v/>
      </c>
      <c r="J78" s="12" t="str">
        <f>IF(字段输入模板!P77="","",IFERROR(字段输入模板!E77,""))</f>
        <v/>
      </c>
      <c r="K78" s="12" t="str">
        <f>IF(字段输入模板!P77="","",IFERROR(字段输入模板!O77,""))</f>
        <v/>
      </c>
      <c r="L78" s="9" t="str">
        <f>IF(字段输入模板!P77="","",IFERROR(字段输入模板!A77,""))</f>
        <v/>
      </c>
      <c r="M78" s="9" t="str">
        <f>IF(字段输入模板!P77="","",IFERROR(字段输入模板!F77,""))</f>
        <v/>
      </c>
      <c r="N78" s="9" t="str">
        <f>IF(字段输入模板!P77="","",IFERROR(字段输入模板!G77,""))</f>
        <v/>
      </c>
      <c r="O78" s="12" t="str">
        <f>IF(字段输入模板!P77="","",IFERROR(字段输入模板!H77,""))</f>
        <v/>
      </c>
      <c r="P78" s="13" t="str">
        <f>IF(字段输入模板!P77="","",IFERROR(字段输入模板!R77,""))</f>
        <v/>
      </c>
    </row>
    <row r="79" spans="1:16">
      <c r="A79" s="12" t="str">
        <f>IF(字段输入模板!P78="","",IFERROR(字段输入模板!P78,""))</f>
        <v/>
      </c>
      <c r="B79" s="12" t="str">
        <f>IF(字段输入模板!P78="","",IF(字段输入模板!C78="",IFERROR(字段输入模板!B78,""),IFERROR(字段输入模板!C78,"")))</f>
        <v/>
      </c>
      <c r="C79" s="12" t="str">
        <f>IF(字段输入模板!P78="","",IFERROR(字段输入模板!I78,""))</f>
        <v/>
      </c>
      <c r="D79" s="9" t="str">
        <f>IF(字段输入模板!P78="","",IFERROR(字段输入模板!Q78,""))</f>
        <v/>
      </c>
      <c r="E79" s="9" t="str">
        <f>IF(字段输入模板!P78="","",IFERROR(字段输入模板!L78,""))</f>
        <v/>
      </c>
      <c r="F79" s="9" t="str">
        <f>IF(字段输入模板!P78="","",IFERROR(字段输入模板!J78,""))</f>
        <v/>
      </c>
      <c r="G79" s="9" t="str">
        <f>IF(字段输入模板!P78="","",IFERROR(字段输入模板!K78,""))</f>
        <v/>
      </c>
      <c r="H79" s="12" t="str">
        <f>IF(字段输入模板!P78="","",IFERROR(字段输入模板!M78,""))</f>
        <v/>
      </c>
      <c r="I79" s="12" t="str">
        <f>IF(字段输入模板!P78="","",IFERROR(字段输入模板!N78,""))</f>
        <v/>
      </c>
      <c r="J79" s="12" t="str">
        <f>IF(字段输入模板!P78="","",IFERROR(字段输入模板!E78,""))</f>
        <v/>
      </c>
      <c r="K79" s="12" t="str">
        <f>IF(字段输入模板!P78="","",IFERROR(字段输入模板!O78,""))</f>
        <v/>
      </c>
      <c r="L79" s="9" t="str">
        <f>IF(字段输入模板!P78="","",IFERROR(字段输入模板!A78,""))</f>
        <v/>
      </c>
      <c r="M79" s="9" t="str">
        <f>IF(字段输入模板!P78="","",IFERROR(字段输入模板!F78,""))</f>
        <v/>
      </c>
      <c r="N79" s="9" t="str">
        <f>IF(字段输入模板!P78="","",IFERROR(字段输入模板!G78,""))</f>
        <v/>
      </c>
      <c r="O79" s="12" t="str">
        <f>IF(字段输入模板!P78="","",IFERROR(字段输入模板!H78,""))</f>
        <v/>
      </c>
      <c r="P79" s="13" t="str">
        <f>IF(字段输入模板!P78="","",IFERROR(字段输入模板!R78,""))</f>
        <v/>
      </c>
    </row>
    <row r="80" spans="1:16">
      <c r="A80" s="12" t="str">
        <f>IF(字段输入模板!P79="","",IFERROR(字段输入模板!P79,""))</f>
        <v/>
      </c>
      <c r="B80" s="12" t="str">
        <f>IF(字段输入模板!P79="","",IF(字段输入模板!C79="",IFERROR(字段输入模板!B79,""),IFERROR(字段输入模板!C79,"")))</f>
        <v/>
      </c>
      <c r="C80" s="12" t="str">
        <f>IF(字段输入模板!P79="","",IFERROR(字段输入模板!I79,""))</f>
        <v/>
      </c>
      <c r="D80" s="9" t="str">
        <f>IF(字段输入模板!P79="","",IFERROR(字段输入模板!Q79,""))</f>
        <v/>
      </c>
      <c r="E80" s="9" t="str">
        <f>IF(字段输入模板!P79="","",IFERROR(字段输入模板!L79,""))</f>
        <v/>
      </c>
      <c r="F80" s="9" t="str">
        <f>IF(字段输入模板!P79="","",IFERROR(字段输入模板!J79,""))</f>
        <v/>
      </c>
      <c r="G80" s="9" t="str">
        <f>IF(字段输入模板!P79="","",IFERROR(字段输入模板!K79,""))</f>
        <v/>
      </c>
      <c r="H80" s="12" t="str">
        <f>IF(字段输入模板!P79="","",IFERROR(字段输入模板!M79,""))</f>
        <v/>
      </c>
      <c r="I80" s="12" t="str">
        <f>IF(字段输入模板!P79="","",IFERROR(字段输入模板!N79,""))</f>
        <v/>
      </c>
      <c r="J80" s="12" t="str">
        <f>IF(字段输入模板!P79="","",IFERROR(字段输入模板!E79,""))</f>
        <v/>
      </c>
      <c r="K80" s="12" t="str">
        <f>IF(字段输入模板!P79="","",IFERROR(字段输入模板!O79,""))</f>
        <v/>
      </c>
      <c r="L80" s="9" t="str">
        <f>IF(字段输入模板!P79="","",IFERROR(字段输入模板!A79,""))</f>
        <v/>
      </c>
      <c r="M80" s="9" t="str">
        <f>IF(字段输入模板!P79="","",IFERROR(字段输入模板!F79,""))</f>
        <v/>
      </c>
      <c r="N80" s="9" t="str">
        <f>IF(字段输入模板!P79="","",IFERROR(字段输入模板!G79,""))</f>
        <v/>
      </c>
      <c r="O80" s="12" t="str">
        <f>IF(字段输入模板!P79="","",IFERROR(字段输入模板!H79,""))</f>
        <v/>
      </c>
      <c r="P80" s="13" t="str">
        <f>IF(字段输入模板!P79="","",IFERROR(字段输入模板!R79,""))</f>
        <v/>
      </c>
    </row>
    <row r="81" spans="1:16">
      <c r="A81" s="12" t="str">
        <f>IF(字段输入模板!P80="","",IFERROR(字段输入模板!P80,""))</f>
        <v/>
      </c>
      <c r="B81" s="12" t="str">
        <f>IF(字段输入模板!P80="","",IF(字段输入模板!C80="",IFERROR(字段输入模板!B80,""),IFERROR(字段输入模板!C80,"")))</f>
        <v/>
      </c>
      <c r="C81" s="12" t="str">
        <f>IF(字段输入模板!P80="","",IFERROR(字段输入模板!I80,""))</f>
        <v/>
      </c>
      <c r="D81" s="9" t="str">
        <f>IF(字段输入模板!P80="","",IFERROR(字段输入模板!Q80,""))</f>
        <v/>
      </c>
      <c r="E81" s="9" t="str">
        <f>IF(字段输入模板!P80="","",IFERROR(字段输入模板!L80,""))</f>
        <v/>
      </c>
      <c r="F81" s="9" t="str">
        <f>IF(字段输入模板!P80="","",IFERROR(字段输入模板!J80,""))</f>
        <v/>
      </c>
      <c r="G81" s="9" t="str">
        <f>IF(字段输入模板!P80="","",IFERROR(字段输入模板!K80,""))</f>
        <v/>
      </c>
      <c r="H81" s="12" t="str">
        <f>IF(字段输入模板!P80="","",IFERROR(字段输入模板!M80,""))</f>
        <v/>
      </c>
      <c r="I81" s="12" t="str">
        <f>IF(字段输入模板!P80="","",IFERROR(字段输入模板!N80,""))</f>
        <v/>
      </c>
      <c r="J81" s="12" t="str">
        <f>IF(字段输入模板!P80="","",IFERROR(字段输入模板!E80,""))</f>
        <v/>
      </c>
      <c r="K81" s="12" t="str">
        <f>IF(字段输入模板!P80="","",IFERROR(字段输入模板!O80,""))</f>
        <v/>
      </c>
      <c r="L81" s="9" t="str">
        <f>IF(字段输入模板!P80="","",IFERROR(字段输入模板!A80,""))</f>
        <v/>
      </c>
      <c r="M81" s="9" t="str">
        <f>IF(字段输入模板!P80="","",IFERROR(字段输入模板!F80,""))</f>
        <v/>
      </c>
      <c r="N81" s="9" t="str">
        <f>IF(字段输入模板!P80="","",IFERROR(字段输入模板!G80,""))</f>
        <v/>
      </c>
      <c r="O81" s="12" t="str">
        <f>IF(字段输入模板!P80="","",IFERROR(字段输入模板!H80,""))</f>
        <v/>
      </c>
      <c r="P81" s="13" t="str">
        <f>IF(字段输入模板!P80="","",IFERROR(字段输入模板!R80,""))</f>
        <v/>
      </c>
    </row>
    <row r="82" spans="1:16">
      <c r="A82" s="12" t="str">
        <f>IF(字段输入模板!P81="","",IFERROR(字段输入模板!P81,""))</f>
        <v/>
      </c>
      <c r="B82" s="12" t="str">
        <f>IF(字段输入模板!P81="","",IF(字段输入模板!C81="",IFERROR(字段输入模板!B81,""),IFERROR(字段输入模板!C81,"")))</f>
        <v/>
      </c>
      <c r="C82" s="12" t="str">
        <f>IF(字段输入模板!P81="","",IFERROR(字段输入模板!I81,""))</f>
        <v/>
      </c>
      <c r="D82" s="9" t="str">
        <f>IF(字段输入模板!P81="","",IFERROR(字段输入模板!Q81,""))</f>
        <v/>
      </c>
      <c r="E82" s="9" t="str">
        <f>IF(字段输入模板!P81="","",IFERROR(字段输入模板!L81,""))</f>
        <v/>
      </c>
      <c r="F82" s="9" t="str">
        <f>IF(字段输入模板!P81="","",IFERROR(字段输入模板!J81,""))</f>
        <v/>
      </c>
      <c r="G82" s="9" t="str">
        <f>IF(字段输入模板!P81="","",IFERROR(字段输入模板!K81,""))</f>
        <v/>
      </c>
      <c r="H82" s="12" t="str">
        <f>IF(字段输入模板!P81="","",IFERROR(字段输入模板!M81,""))</f>
        <v/>
      </c>
      <c r="I82" s="12" t="str">
        <f>IF(字段输入模板!P81="","",IFERROR(字段输入模板!N81,""))</f>
        <v/>
      </c>
      <c r="J82" s="12" t="str">
        <f>IF(字段输入模板!P81="","",IFERROR(字段输入模板!E81,""))</f>
        <v/>
      </c>
      <c r="K82" s="12" t="str">
        <f>IF(字段输入模板!P81="","",IFERROR(字段输入模板!O81,""))</f>
        <v/>
      </c>
      <c r="L82" s="9" t="str">
        <f>IF(字段输入模板!P81="","",IFERROR(字段输入模板!A81,""))</f>
        <v/>
      </c>
      <c r="M82" s="9" t="str">
        <f>IF(字段输入模板!P81="","",IFERROR(字段输入模板!F81,""))</f>
        <v/>
      </c>
      <c r="N82" s="9" t="str">
        <f>IF(字段输入模板!P81="","",IFERROR(字段输入模板!G81,""))</f>
        <v/>
      </c>
      <c r="O82" s="12" t="str">
        <f>IF(字段输入模板!P81="","",IFERROR(字段输入模板!H81,""))</f>
        <v/>
      </c>
      <c r="P82" s="13" t="str">
        <f>IF(字段输入模板!P81="","",IFERROR(字段输入模板!R81,""))</f>
        <v/>
      </c>
    </row>
    <row r="83" spans="1:16">
      <c r="A83" s="12" t="str">
        <f>IF(字段输入模板!P82="","",IFERROR(字段输入模板!P82,""))</f>
        <v/>
      </c>
      <c r="B83" s="12" t="str">
        <f>IF(字段输入模板!P82="","",IF(字段输入模板!C82="",IFERROR(字段输入模板!B82,""),IFERROR(字段输入模板!C82,"")))</f>
        <v/>
      </c>
      <c r="C83" s="12" t="str">
        <f>IF(字段输入模板!P82="","",IFERROR(字段输入模板!I82,""))</f>
        <v/>
      </c>
      <c r="D83" s="9" t="str">
        <f>IF(字段输入模板!P82="","",IFERROR(字段输入模板!Q82,""))</f>
        <v/>
      </c>
      <c r="E83" s="9" t="str">
        <f>IF(字段输入模板!P82="","",IFERROR(字段输入模板!L82,""))</f>
        <v/>
      </c>
      <c r="F83" s="9" t="str">
        <f>IF(字段输入模板!P82="","",IFERROR(字段输入模板!J82,""))</f>
        <v/>
      </c>
      <c r="G83" s="9" t="str">
        <f>IF(字段输入模板!P82="","",IFERROR(字段输入模板!K82,""))</f>
        <v/>
      </c>
      <c r="H83" s="12" t="str">
        <f>IF(字段输入模板!P82="","",IFERROR(字段输入模板!M82,""))</f>
        <v/>
      </c>
      <c r="I83" s="12" t="str">
        <f>IF(字段输入模板!P82="","",IFERROR(字段输入模板!N82,""))</f>
        <v/>
      </c>
      <c r="J83" s="12" t="str">
        <f>IF(字段输入模板!P82="","",IFERROR(字段输入模板!E82,""))</f>
        <v/>
      </c>
      <c r="K83" s="12" t="str">
        <f>IF(字段输入模板!P82="","",IFERROR(字段输入模板!O82,""))</f>
        <v/>
      </c>
      <c r="L83" s="9" t="str">
        <f>IF(字段输入模板!P82="","",IFERROR(字段输入模板!A82,""))</f>
        <v/>
      </c>
      <c r="M83" s="9" t="str">
        <f>IF(字段输入模板!P82="","",IFERROR(字段输入模板!F82,""))</f>
        <v/>
      </c>
      <c r="N83" s="9" t="str">
        <f>IF(字段输入模板!P82="","",IFERROR(字段输入模板!G82,""))</f>
        <v/>
      </c>
      <c r="O83" s="12" t="str">
        <f>IF(字段输入模板!P82="","",IFERROR(字段输入模板!H82,""))</f>
        <v/>
      </c>
      <c r="P83" s="13" t="str">
        <f>IF(字段输入模板!P82="","",IFERROR(字段输入模板!R82,""))</f>
        <v/>
      </c>
    </row>
    <row r="84" spans="1:16">
      <c r="A84" s="12" t="str">
        <f>IF(字段输入模板!P83="","",IFERROR(字段输入模板!P83,""))</f>
        <v/>
      </c>
      <c r="B84" s="12" t="str">
        <f>IF(字段输入模板!P83="","",IF(字段输入模板!C83="",IFERROR(字段输入模板!B83,""),IFERROR(字段输入模板!C83,"")))</f>
        <v/>
      </c>
      <c r="C84" s="12" t="str">
        <f>IF(字段输入模板!P83="","",IFERROR(字段输入模板!I83,""))</f>
        <v/>
      </c>
      <c r="D84" s="9" t="str">
        <f>IF(字段输入模板!P83="","",IFERROR(字段输入模板!Q83,""))</f>
        <v/>
      </c>
      <c r="E84" s="9" t="str">
        <f>IF(字段输入模板!P83="","",IFERROR(字段输入模板!L83,""))</f>
        <v/>
      </c>
      <c r="F84" s="9" t="str">
        <f>IF(字段输入模板!P83="","",IFERROR(字段输入模板!J83,""))</f>
        <v/>
      </c>
      <c r="G84" s="9" t="str">
        <f>IF(字段输入模板!P83="","",IFERROR(字段输入模板!K83,""))</f>
        <v/>
      </c>
      <c r="H84" s="12" t="str">
        <f>IF(字段输入模板!P83="","",IFERROR(字段输入模板!M83,""))</f>
        <v/>
      </c>
      <c r="I84" s="12" t="str">
        <f>IF(字段输入模板!P83="","",IFERROR(字段输入模板!N83,""))</f>
        <v/>
      </c>
      <c r="J84" s="12" t="str">
        <f>IF(字段输入模板!P83="","",IFERROR(字段输入模板!E83,""))</f>
        <v/>
      </c>
      <c r="K84" s="12" t="str">
        <f>IF(字段输入模板!P83="","",IFERROR(字段输入模板!O83,""))</f>
        <v/>
      </c>
      <c r="L84" s="9" t="str">
        <f>IF(字段输入模板!P83="","",IFERROR(字段输入模板!A83,""))</f>
        <v/>
      </c>
      <c r="M84" s="9" t="str">
        <f>IF(字段输入模板!P83="","",IFERROR(字段输入模板!F83,""))</f>
        <v/>
      </c>
      <c r="N84" s="9" t="str">
        <f>IF(字段输入模板!P83="","",IFERROR(字段输入模板!G83,""))</f>
        <v/>
      </c>
      <c r="O84" s="12" t="str">
        <f>IF(字段输入模板!P83="","",IFERROR(字段输入模板!H83,""))</f>
        <v/>
      </c>
      <c r="P84" s="13" t="str">
        <f>IF(字段输入模板!P83="","",IFERROR(字段输入模板!R83,""))</f>
        <v/>
      </c>
    </row>
    <row r="85" spans="1:16">
      <c r="A85" s="12" t="str">
        <f>IF(字段输入模板!P84="","",IFERROR(字段输入模板!P84,""))</f>
        <v/>
      </c>
      <c r="B85" s="12" t="str">
        <f>IF(字段输入模板!P84="","",IF(字段输入模板!C84="",IFERROR(字段输入模板!B84,""),IFERROR(字段输入模板!C84,"")))</f>
        <v/>
      </c>
      <c r="C85" s="12" t="str">
        <f>IF(字段输入模板!P84="","",IFERROR(字段输入模板!I84,""))</f>
        <v/>
      </c>
      <c r="D85" s="9" t="str">
        <f>IF(字段输入模板!P84="","",IFERROR(字段输入模板!Q84,""))</f>
        <v/>
      </c>
      <c r="E85" s="9" t="str">
        <f>IF(字段输入模板!P84="","",IFERROR(字段输入模板!L84,""))</f>
        <v/>
      </c>
      <c r="F85" s="9" t="str">
        <f>IF(字段输入模板!P84="","",IFERROR(字段输入模板!J84,""))</f>
        <v/>
      </c>
      <c r="G85" s="9" t="str">
        <f>IF(字段输入模板!P84="","",IFERROR(字段输入模板!K84,""))</f>
        <v/>
      </c>
      <c r="H85" s="12" t="str">
        <f>IF(字段输入模板!P84="","",IFERROR(字段输入模板!M84,""))</f>
        <v/>
      </c>
      <c r="I85" s="12" t="str">
        <f>IF(字段输入模板!P84="","",IFERROR(字段输入模板!N84,""))</f>
        <v/>
      </c>
      <c r="J85" s="12" t="str">
        <f>IF(字段输入模板!P84="","",IFERROR(字段输入模板!E84,""))</f>
        <v/>
      </c>
      <c r="K85" s="12" t="str">
        <f>IF(字段输入模板!P84="","",IFERROR(字段输入模板!O84,""))</f>
        <v/>
      </c>
      <c r="L85" s="9" t="str">
        <f>IF(字段输入模板!P84="","",IFERROR(字段输入模板!A84,""))</f>
        <v/>
      </c>
      <c r="M85" s="9" t="str">
        <f>IF(字段输入模板!P84="","",IFERROR(字段输入模板!F84,""))</f>
        <v/>
      </c>
      <c r="N85" s="9" t="str">
        <f>IF(字段输入模板!P84="","",IFERROR(字段输入模板!G84,""))</f>
        <v/>
      </c>
      <c r="O85" s="12" t="str">
        <f>IF(字段输入模板!P84="","",IFERROR(字段输入模板!H84,""))</f>
        <v/>
      </c>
      <c r="P85" s="13" t="str">
        <f>IF(字段输入模板!P84="","",IFERROR(字段输入模板!R84,""))</f>
        <v/>
      </c>
    </row>
    <row r="86" spans="1:16">
      <c r="A86" s="12" t="str">
        <f>IF(字段输入模板!P85="","",IFERROR(字段输入模板!P85,""))</f>
        <v/>
      </c>
      <c r="B86" s="12" t="str">
        <f>IF(字段输入模板!P85="","",IF(字段输入模板!C85="",IFERROR(字段输入模板!B85,""),IFERROR(字段输入模板!C85,"")))</f>
        <v/>
      </c>
      <c r="C86" s="12" t="str">
        <f>IF(字段输入模板!P85="","",IFERROR(字段输入模板!I85,""))</f>
        <v/>
      </c>
      <c r="D86" s="9" t="str">
        <f>IF(字段输入模板!P85="","",IFERROR(字段输入模板!Q85,""))</f>
        <v/>
      </c>
      <c r="E86" s="9" t="str">
        <f>IF(字段输入模板!P85="","",IFERROR(字段输入模板!L85,""))</f>
        <v/>
      </c>
      <c r="F86" s="9" t="str">
        <f>IF(字段输入模板!P85="","",IFERROR(字段输入模板!J85,""))</f>
        <v/>
      </c>
      <c r="G86" s="9" t="str">
        <f>IF(字段输入模板!P85="","",IFERROR(字段输入模板!K85,""))</f>
        <v/>
      </c>
      <c r="H86" s="12" t="str">
        <f>IF(字段输入模板!P85="","",IFERROR(字段输入模板!M85,""))</f>
        <v/>
      </c>
      <c r="I86" s="12" t="str">
        <f>IF(字段输入模板!P85="","",IFERROR(字段输入模板!N85,""))</f>
        <v/>
      </c>
      <c r="J86" s="12" t="str">
        <f>IF(字段输入模板!P85="","",IFERROR(字段输入模板!E85,""))</f>
        <v/>
      </c>
      <c r="K86" s="12" t="str">
        <f>IF(字段输入模板!P85="","",IFERROR(字段输入模板!O85,""))</f>
        <v/>
      </c>
      <c r="L86" s="9" t="str">
        <f>IF(字段输入模板!P85="","",IFERROR(字段输入模板!A85,""))</f>
        <v/>
      </c>
      <c r="M86" s="9" t="str">
        <f>IF(字段输入模板!P85="","",IFERROR(字段输入模板!F85,""))</f>
        <v/>
      </c>
      <c r="N86" s="9" t="str">
        <f>IF(字段输入模板!P85="","",IFERROR(字段输入模板!G85,""))</f>
        <v/>
      </c>
      <c r="O86" s="12" t="str">
        <f>IF(字段输入模板!P85="","",IFERROR(字段输入模板!H85,""))</f>
        <v/>
      </c>
      <c r="P86" s="13" t="str">
        <f>IF(字段输入模板!P85="","",IFERROR(字段输入模板!R85,""))</f>
        <v/>
      </c>
    </row>
    <row r="87" spans="1:16">
      <c r="A87" s="12" t="str">
        <f>IF(字段输入模板!P86="","",IFERROR(字段输入模板!P86,""))</f>
        <v/>
      </c>
      <c r="B87" s="12" t="str">
        <f>IF(字段输入模板!P86="","",IF(字段输入模板!C86="",IFERROR(字段输入模板!B86,""),IFERROR(字段输入模板!C86,"")))</f>
        <v/>
      </c>
      <c r="C87" s="12" t="str">
        <f>IF(字段输入模板!P86="","",IFERROR(字段输入模板!I86,""))</f>
        <v/>
      </c>
      <c r="D87" s="9" t="str">
        <f>IF(字段输入模板!P86="","",IFERROR(字段输入模板!Q86,""))</f>
        <v/>
      </c>
      <c r="E87" s="9" t="str">
        <f>IF(字段输入模板!P86="","",IFERROR(字段输入模板!L86,""))</f>
        <v/>
      </c>
      <c r="F87" s="9" t="str">
        <f>IF(字段输入模板!P86="","",IFERROR(字段输入模板!J86,""))</f>
        <v/>
      </c>
      <c r="G87" s="9" t="str">
        <f>IF(字段输入模板!P86="","",IFERROR(字段输入模板!K86,""))</f>
        <v/>
      </c>
      <c r="H87" s="12" t="str">
        <f>IF(字段输入模板!P86="","",IFERROR(字段输入模板!M86,""))</f>
        <v/>
      </c>
      <c r="I87" s="12" t="str">
        <f>IF(字段输入模板!P86="","",IFERROR(字段输入模板!N86,""))</f>
        <v/>
      </c>
      <c r="J87" s="12" t="str">
        <f>IF(字段输入模板!P86="","",IFERROR(字段输入模板!E86,""))</f>
        <v/>
      </c>
      <c r="K87" s="12" t="str">
        <f>IF(字段输入模板!P86="","",IFERROR(字段输入模板!O86,""))</f>
        <v/>
      </c>
      <c r="L87" s="9" t="str">
        <f>IF(字段输入模板!P86="","",IFERROR(字段输入模板!A86,""))</f>
        <v/>
      </c>
      <c r="M87" s="9" t="str">
        <f>IF(字段输入模板!P86="","",IFERROR(字段输入模板!F86,""))</f>
        <v/>
      </c>
      <c r="N87" s="9" t="str">
        <f>IF(字段输入模板!P86="","",IFERROR(字段输入模板!G86,""))</f>
        <v/>
      </c>
      <c r="O87" s="12" t="str">
        <f>IF(字段输入模板!P86="","",IFERROR(字段输入模板!H86,""))</f>
        <v/>
      </c>
      <c r="P87" s="13" t="str">
        <f>IF(字段输入模板!P86="","",IFERROR(字段输入模板!R86,""))</f>
        <v/>
      </c>
    </row>
    <row r="88" spans="1:16">
      <c r="A88" s="12" t="str">
        <f>IF(字段输入模板!P87="","",IFERROR(字段输入模板!P87,""))</f>
        <v/>
      </c>
      <c r="B88" s="12" t="str">
        <f>IF(字段输入模板!P87="","",IF(字段输入模板!C87="",IFERROR(字段输入模板!B87,""),IFERROR(字段输入模板!C87,"")))</f>
        <v/>
      </c>
      <c r="C88" s="12" t="str">
        <f>IF(字段输入模板!P87="","",IFERROR(字段输入模板!I87,""))</f>
        <v/>
      </c>
      <c r="D88" s="9" t="str">
        <f>IF(字段输入模板!P87="","",IFERROR(字段输入模板!Q87,""))</f>
        <v/>
      </c>
      <c r="E88" s="9" t="str">
        <f>IF(字段输入模板!P87="","",IFERROR(字段输入模板!L87,""))</f>
        <v/>
      </c>
      <c r="F88" s="9" t="str">
        <f>IF(字段输入模板!P87="","",IFERROR(字段输入模板!J87,""))</f>
        <v/>
      </c>
      <c r="G88" s="9" t="str">
        <f>IF(字段输入模板!P87="","",IFERROR(字段输入模板!K87,""))</f>
        <v/>
      </c>
      <c r="H88" s="12" t="str">
        <f>IF(字段输入模板!P87="","",IFERROR(字段输入模板!M87,""))</f>
        <v/>
      </c>
      <c r="I88" s="12" t="str">
        <f>IF(字段输入模板!P87="","",IFERROR(字段输入模板!N87,""))</f>
        <v/>
      </c>
      <c r="J88" s="12" t="str">
        <f>IF(字段输入模板!P87="","",IFERROR(字段输入模板!E87,""))</f>
        <v/>
      </c>
      <c r="K88" s="12" t="str">
        <f>IF(字段输入模板!P87="","",IFERROR(字段输入模板!O87,""))</f>
        <v/>
      </c>
      <c r="L88" s="9" t="str">
        <f>IF(字段输入模板!P87="","",IFERROR(字段输入模板!A87,""))</f>
        <v/>
      </c>
      <c r="M88" s="9" t="str">
        <f>IF(字段输入模板!P87="","",IFERROR(字段输入模板!F87,""))</f>
        <v/>
      </c>
      <c r="N88" s="9" t="str">
        <f>IF(字段输入模板!P87="","",IFERROR(字段输入模板!G87,""))</f>
        <v/>
      </c>
      <c r="O88" s="12" t="str">
        <f>IF(字段输入模板!P87="","",IFERROR(字段输入模板!H87,""))</f>
        <v/>
      </c>
      <c r="P88" s="13" t="str">
        <f>IF(字段输入模板!P87="","",IFERROR(字段输入模板!R87,""))</f>
        <v/>
      </c>
    </row>
    <row r="89" spans="1:16">
      <c r="A89" s="12" t="str">
        <f>IF(字段输入模板!P88="","",IFERROR(字段输入模板!P88,""))</f>
        <v/>
      </c>
      <c r="B89" s="12" t="str">
        <f>IF(字段输入模板!P88="","",IF(字段输入模板!C88="",IFERROR(字段输入模板!B88,""),IFERROR(字段输入模板!C88,"")))</f>
        <v/>
      </c>
      <c r="C89" s="12" t="str">
        <f>IF(字段输入模板!P88="","",IFERROR(字段输入模板!I88,""))</f>
        <v/>
      </c>
      <c r="D89" s="9" t="str">
        <f>IF(字段输入模板!P88="","",IFERROR(字段输入模板!Q88,""))</f>
        <v/>
      </c>
      <c r="E89" s="9" t="str">
        <f>IF(字段输入模板!P88="","",IFERROR(字段输入模板!L88,""))</f>
        <v/>
      </c>
      <c r="F89" s="9" t="str">
        <f>IF(字段输入模板!P88="","",IFERROR(字段输入模板!J88,""))</f>
        <v/>
      </c>
      <c r="G89" s="9" t="str">
        <f>IF(字段输入模板!P88="","",IFERROR(字段输入模板!K88,""))</f>
        <v/>
      </c>
      <c r="H89" s="12" t="str">
        <f>IF(字段输入模板!P88="","",IFERROR(字段输入模板!M88,""))</f>
        <v/>
      </c>
      <c r="I89" s="12" t="str">
        <f>IF(字段输入模板!P88="","",IFERROR(字段输入模板!N88,""))</f>
        <v/>
      </c>
      <c r="J89" s="12" t="str">
        <f>IF(字段输入模板!P88="","",IFERROR(字段输入模板!E88,""))</f>
        <v/>
      </c>
      <c r="K89" s="12" t="str">
        <f>IF(字段输入模板!P88="","",IFERROR(字段输入模板!O88,""))</f>
        <v/>
      </c>
      <c r="L89" s="9" t="str">
        <f>IF(字段输入模板!P88="","",IFERROR(字段输入模板!A88,""))</f>
        <v/>
      </c>
      <c r="M89" s="9" t="str">
        <f>IF(字段输入模板!P88="","",IFERROR(字段输入模板!F88,""))</f>
        <v/>
      </c>
      <c r="N89" s="9" t="str">
        <f>IF(字段输入模板!P88="","",IFERROR(字段输入模板!G88,""))</f>
        <v/>
      </c>
      <c r="O89" s="12" t="str">
        <f>IF(字段输入模板!P88="","",IFERROR(字段输入模板!H88,""))</f>
        <v/>
      </c>
      <c r="P89" s="13" t="str">
        <f>IF(字段输入模板!P88="","",IFERROR(字段输入模板!R88,""))</f>
        <v/>
      </c>
    </row>
    <row r="90" spans="1:16">
      <c r="A90" s="12" t="str">
        <f>IF(字段输入模板!P89="","",IFERROR(字段输入模板!P89,""))</f>
        <v/>
      </c>
      <c r="B90" s="12" t="str">
        <f>IF(字段输入模板!P89="","",IF(字段输入模板!C89="",IFERROR(字段输入模板!B89,""),IFERROR(字段输入模板!C89,"")))</f>
        <v/>
      </c>
      <c r="C90" s="12" t="str">
        <f>IF(字段输入模板!P89="","",IFERROR(字段输入模板!I89,""))</f>
        <v/>
      </c>
      <c r="D90" s="9" t="str">
        <f>IF(字段输入模板!P89="","",IFERROR(字段输入模板!Q89,""))</f>
        <v/>
      </c>
      <c r="E90" s="9" t="str">
        <f>IF(字段输入模板!P89="","",IFERROR(字段输入模板!L89,""))</f>
        <v/>
      </c>
      <c r="F90" s="9" t="str">
        <f>IF(字段输入模板!P89="","",IFERROR(字段输入模板!J89,""))</f>
        <v/>
      </c>
      <c r="G90" s="9" t="str">
        <f>IF(字段输入模板!P89="","",IFERROR(字段输入模板!K89,""))</f>
        <v/>
      </c>
      <c r="H90" s="12" t="str">
        <f>IF(字段输入模板!P89="","",IFERROR(字段输入模板!M89,""))</f>
        <v/>
      </c>
      <c r="I90" s="12" t="str">
        <f>IF(字段输入模板!P89="","",IFERROR(字段输入模板!N89,""))</f>
        <v/>
      </c>
      <c r="J90" s="12" t="str">
        <f>IF(字段输入模板!P89="","",IFERROR(字段输入模板!E89,""))</f>
        <v/>
      </c>
      <c r="K90" s="12" t="str">
        <f>IF(字段输入模板!P89="","",IFERROR(字段输入模板!O89,""))</f>
        <v/>
      </c>
      <c r="L90" s="9" t="str">
        <f>IF(字段输入模板!P89="","",IFERROR(字段输入模板!A89,""))</f>
        <v/>
      </c>
      <c r="M90" s="9" t="str">
        <f>IF(字段输入模板!P89="","",IFERROR(字段输入模板!F89,""))</f>
        <v/>
      </c>
      <c r="N90" s="9" t="str">
        <f>IF(字段输入模板!P89="","",IFERROR(字段输入模板!G89,""))</f>
        <v/>
      </c>
      <c r="O90" s="12" t="str">
        <f>IF(字段输入模板!P89="","",IFERROR(字段输入模板!H89,""))</f>
        <v/>
      </c>
      <c r="P90" s="13" t="str">
        <f>IF(字段输入模板!P89="","",IFERROR(字段输入模板!R89,""))</f>
        <v/>
      </c>
    </row>
    <row r="91" spans="1:16">
      <c r="A91" s="12" t="str">
        <f>IF(字段输入模板!P90="","",IFERROR(字段输入模板!P90,""))</f>
        <v/>
      </c>
      <c r="B91" s="12" t="str">
        <f>IF(字段输入模板!P90="","",IF(字段输入模板!C90="",IFERROR(字段输入模板!B90,""),IFERROR(字段输入模板!C90,"")))</f>
        <v/>
      </c>
      <c r="C91" s="12" t="str">
        <f>IF(字段输入模板!P90="","",IFERROR(字段输入模板!I90,""))</f>
        <v/>
      </c>
      <c r="D91" s="9" t="str">
        <f>IF(字段输入模板!P90="","",IFERROR(字段输入模板!Q90,""))</f>
        <v/>
      </c>
      <c r="E91" s="9" t="str">
        <f>IF(字段输入模板!P90="","",IFERROR(字段输入模板!L90,""))</f>
        <v/>
      </c>
      <c r="F91" s="9" t="str">
        <f>IF(字段输入模板!P90="","",IFERROR(字段输入模板!J90,""))</f>
        <v/>
      </c>
      <c r="G91" s="9" t="str">
        <f>IF(字段输入模板!P90="","",IFERROR(字段输入模板!K90,""))</f>
        <v/>
      </c>
      <c r="H91" s="12" t="str">
        <f>IF(字段输入模板!P90="","",IFERROR(字段输入模板!M90,""))</f>
        <v/>
      </c>
      <c r="I91" s="12" t="str">
        <f>IF(字段输入模板!P90="","",IFERROR(字段输入模板!N90,""))</f>
        <v/>
      </c>
      <c r="J91" s="12" t="str">
        <f>IF(字段输入模板!P90="","",IFERROR(字段输入模板!E90,""))</f>
        <v/>
      </c>
      <c r="K91" s="12" t="str">
        <f>IF(字段输入模板!P90="","",IFERROR(字段输入模板!O90,""))</f>
        <v/>
      </c>
      <c r="L91" s="9" t="str">
        <f>IF(字段输入模板!P90="","",IFERROR(字段输入模板!A90,""))</f>
        <v/>
      </c>
      <c r="M91" s="9" t="str">
        <f>IF(字段输入模板!P90="","",IFERROR(字段输入模板!F90,""))</f>
        <v/>
      </c>
      <c r="N91" s="9" t="str">
        <f>IF(字段输入模板!P90="","",IFERROR(字段输入模板!G90,""))</f>
        <v/>
      </c>
      <c r="O91" s="12" t="str">
        <f>IF(字段输入模板!P90="","",IFERROR(字段输入模板!H90,""))</f>
        <v/>
      </c>
      <c r="P91" s="13" t="str">
        <f>IF(字段输入模板!P90="","",IFERROR(字段输入模板!R90,""))</f>
        <v/>
      </c>
    </row>
    <row r="92" spans="1:16">
      <c r="A92" s="12" t="str">
        <f>IF(字段输入模板!P91="","",IFERROR(字段输入模板!P91,""))</f>
        <v/>
      </c>
      <c r="B92" s="12" t="str">
        <f>IF(字段输入模板!P91="","",IF(字段输入模板!C91="",IFERROR(字段输入模板!B91,""),IFERROR(字段输入模板!C91,"")))</f>
        <v/>
      </c>
      <c r="C92" s="12" t="str">
        <f>IF(字段输入模板!P91="","",IFERROR(字段输入模板!I91,""))</f>
        <v/>
      </c>
      <c r="D92" s="9" t="str">
        <f>IF(字段输入模板!P91="","",IFERROR(字段输入模板!Q91,""))</f>
        <v/>
      </c>
      <c r="E92" s="9" t="str">
        <f>IF(字段输入模板!P91="","",IFERROR(字段输入模板!L91,""))</f>
        <v/>
      </c>
      <c r="F92" s="9" t="str">
        <f>IF(字段输入模板!P91="","",IFERROR(字段输入模板!J91,""))</f>
        <v/>
      </c>
      <c r="G92" s="9" t="str">
        <f>IF(字段输入模板!P91="","",IFERROR(字段输入模板!K91,""))</f>
        <v/>
      </c>
      <c r="H92" s="12" t="str">
        <f>IF(字段输入模板!P91="","",IFERROR(字段输入模板!M91,""))</f>
        <v/>
      </c>
      <c r="I92" s="12" t="str">
        <f>IF(字段输入模板!P91="","",IFERROR(字段输入模板!N91,""))</f>
        <v/>
      </c>
      <c r="J92" s="12" t="str">
        <f>IF(字段输入模板!P91="","",IFERROR(字段输入模板!E91,""))</f>
        <v/>
      </c>
      <c r="K92" s="12" t="str">
        <f>IF(字段输入模板!P91="","",IFERROR(字段输入模板!O91,""))</f>
        <v/>
      </c>
      <c r="L92" s="9" t="str">
        <f>IF(字段输入模板!P91="","",IFERROR(字段输入模板!A91,""))</f>
        <v/>
      </c>
      <c r="M92" s="9" t="str">
        <f>IF(字段输入模板!P91="","",IFERROR(字段输入模板!F91,""))</f>
        <v/>
      </c>
      <c r="N92" s="9" t="str">
        <f>IF(字段输入模板!P91="","",IFERROR(字段输入模板!G91,""))</f>
        <v/>
      </c>
      <c r="O92" s="12" t="str">
        <f>IF(字段输入模板!P91="","",IFERROR(字段输入模板!H91,""))</f>
        <v/>
      </c>
      <c r="P92" s="13" t="str">
        <f>IF(字段输入模板!P91="","",IFERROR(字段输入模板!R91,""))</f>
        <v/>
      </c>
    </row>
    <row r="93" spans="1:16">
      <c r="A93" s="12" t="str">
        <f>IF(字段输入模板!P92="","",IFERROR(字段输入模板!P92,""))</f>
        <v/>
      </c>
      <c r="B93" s="12" t="str">
        <f>IF(字段输入模板!P92="","",IF(字段输入模板!C92="",IFERROR(字段输入模板!B92,""),IFERROR(字段输入模板!C92,"")))</f>
        <v/>
      </c>
      <c r="C93" s="12" t="str">
        <f>IF(字段输入模板!P92="","",IFERROR(字段输入模板!I92,""))</f>
        <v/>
      </c>
      <c r="D93" s="9" t="str">
        <f>IF(字段输入模板!P92="","",IFERROR(字段输入模板!Q92,""))</f>
        <v/>
      </c>
      <c r="E93" s="9" t="str">
        <f>IF(字段输入模板!P92="","",IFERROR(字段输入模板!L92,""))</f>
        <v/>
      </c>
      <c r="F93" s="9" t="str">
        <f>IF(字段输入模板!P92="","",IFERROR(字段输入模板!J92,""))</f>
        <v/>
      </c>
      <c r="G93" s="9" t="str">
        <f>IF(字段输入模板!P92="","",IFERROR(字段输入模板!K92,""))</f>
        <v/>
      </c>
      <c r="H93" s="12" t="str">
        <f>IF(字段输入模板!P92="","",IFERROR(字段输入模板!M92,""))</f>
        <v/>
      </c>
      <c r="I93" s="12" t="str">
        <f>IF(字段输入模板!P92="","",IFERROR(字段输入模板!N92,""))</f>
        <v/>
      </c>
      <c r="J93" s="12" t="str">
        <f>IF(字段输入模板!P92="","",IFERROR(字段输入模板!E92,""))</f>
        <v/>
      </c>
      <c r="K93" s="12" t="str">
        <f>IF(字段输入模板!P92="","",IFERROR(字段输入模板!O92,""))</f>
        <v/>
      </c>
      <c r="L93" s="9" t="str">
        <f>IF(字段输入模板!P92="","",IFERROR(字段输入模板!A92,""))</f>
        <v/>
      </c>
      <c r="M93" s="9" t="str">
        <f>IF(字段输入模板!P92="","",IFERROR(字段输入模板!F92,""))</f>
        <v/>
      </c>
      <c r="N93" s="9" t="str">
        <f>IF(字段输入模板!P92="","",IFERROR(字段输入模板!G92,""))</f>
        <v/>
      </c>
      <c r="O93" s="12" t="str">
        <f>IF(字段输入模板!P92="","",IFERROR(字段输入模板!H92,""))</f>
        <v/>
      </c>
      <c r="P93" s="13" t="str">
        <f>IF(字段输入模板!P92="","",IFERROR(字段输入模板!R92,""))</f>
        <v/>
      </c>
    </row>
    <row r="94" spans="1:16">
      <c r="A94" s="12" t="str">
        <f>IF(字段输入模板!P93="","",IFERROR(字段输入模板!P93,""))</f>
        <v/>
      </c>
      <c r="B94" s="12" t="str">
        <f>IF(字段输入模板!P93="","",IF(字段输入模板!C93="",IFERROR(字段输入模板!B93,""),IFERROR(字段输入模板!C93,"")))</f>
        <v/>
      </c>
      <c r="C94" s="12" t="str">
        <f>IF(字段输入模板!P93="","",IFERROR(字段输入模板!I93,""))</f>
        <v/>
      </c>
      <c r="D94" s="9" t="str">
        <f>IF(字段输入模板!P93="","",IFERROR(字段输入模板!Q93,""))</f>
        <v/>
      </c>
      <c r="E94" s="9" t="str">
        <f>IF(字段输入模板!P93="","",IFERROR(字段输入模板!L93,""))</f>
        <v/>
      </c>
      <c r="F94" s="9" t="str">
        <f>IF(字段输入模板!P93="","",IFERROR(字段输入模板!J93,""))</f>
        <v/>
      </c>
      <c r="G94" s="9" t="str">
        <f>IF(字段输入模板!P93="","",IFERROR(字段输入模板!K93,""))</f>
        <v/>
      </c>
      <c r="H94" s="12" t="str">
        <f>IF(字段输入模板!P93="","",IFERROR(字段输入模板!M93,""))</f>
        <v/>
      </c>
      <c r="I94" s="12" t="str">
        <f>IF(字段输入模板!P93="","",IFERROR(字段输入模板!N93,""))</f>
        <v/>
      </c>
      <c r="J94" s="12" t="str">
        <f>IF(字段输入模板!P93="","",IFERROR(字段输入模板!E93,""))</f>
        <v/>
      </c>
      <c r="K94" s="12" t="str">
        <f>IF(字段输入模板!P93="","",IFERROR(字段输入模板!O93,""))</f>
        <v/>
      </c>
      <c r="L94" s="9" t="str">
        <f>IF(字段输入模板!P93="","",IFERROR(字段输入模板!A93,""))</f>
        <v/>
      </c>
      <c r="M94" s="9" t="str">
        <f>IF(字段输入模板!P93="","",IFERROR(字段输入模板!F93,""))</f>
        <v/>
      </c>
      <c r="N94" s="9" t="str">
        <f>IF(字段输入模板!P93="","",IFERROR(字段输入模板!G93,""))</f>
        <v/>
      </c>
      <c r="O94" s="12" t="str">
        <f>IF(字段输入模板!P93="","",IFERROR(字段输入模板!H93,""))</f>
        <v/>
      </c>
      <c r="P94" s="13" t="str">
        <f>IF(字段输入模板!P93="","",IFERROR(字段输入模板!R93,""))</f>
        <v/>
      </c>
    </row>
    <row r="95" spans="1:16">
      <c r="A95" s="12" t="str">
        <f>IF(字段输入模板!P94="","",IFERROR(字段输入模板!P94,""))</f>
        <v/>
      </c>
      <c r="B95" s="12" t="str">
        <f>IF(字段输入模板!P94="","",IF(字段输入模板!C94="",IFERROR(字段输入模板!B94,""),IFERROR(字段输入模板!C94,"")))</f>
        <v/>
      </c>
      <c r="C95" s="12" t="str">
        <f>IF(字段输入模板!P94="","",IFERROR(字段输入模板!I94,""))</f>
        <v/>
      </c>
      <c r="D95" s="9" t="str">
        <f>IF(字段输入模板!P94="","",IFERROR(字段输入模板!Q94,""))</f>
        <v/>
      </c>
      <c r="E95" s="9" t="str">
        <f>IF(字段输入模板!P94="","",IFERROR(字段输入模板!L94,""))</f>
        <v/>
      </c>
      <c r="F95" s="9" t="str">
        <f>IF(字段输入模板!P94="","",IFERROR(字段输入模板!J94,""))</f>
        <v/>
      </c>
      <c r="G95" s="9" t="str">
        <f>IF(字段输入模板!P94="","",IFERROR(字段输入模板!K94,""))</f>
        <v/>
      </c>
      <c r="H95" s="12" t="str">
        <f>IF(字段输入模板!P94="","",IFERROR(字段输入模板!M94,""))</f>
        <v/>
      </c>
      <c r="I95" s="12" t="str">
        <f>IF(字段输入模板!P94="","",IFERROR(字段输入模板!N94,""))</f>
        <v/>
      </c>
      <c r="J95" s="12" t="str">
        <f>IF(字段输入模板!P94="","",IFERROR(字段输入模板!E94,""))</f>
        <v/>
      </c>
      <c r="K95" s="12" t="str">
        <f>IF(字段输入模板!P94="","",IFERROR(字段输入模板!O94,""))</f>
        <v/>
      </c>
      <c r="L95" s="9" t="str">
        <f>IF(字段输入模板!P94="","",IFERROR(字段输入模板!A94,""))</f>
        <v/>
      </c>
      <c r="M95" s="9" t="str">
        <f>IF(字段输入模板!P94="","",IFERROR(字段输入模板!F94,""))</f>
        <v/>
      </c>
      <c r="N95" s="9" t="str">
        <f>IF(字段输入模板!P94="","",IFERROR(字段输入模板!G94,""))</f>
        <v/>
      </c>
      <c r="O95" s="12" t="str">
        <f>IF(字段输入模板!P94="","",IFERROR(字段输入模板!H94,""))</f>
        <v/>
      </c>
      <c r="P95" s="13" t="str">
        <f>IF(字段输入模板!P94="","",IFERROR(字段输入模板!R94,""))</f>
        <v/>
      </c>
    </row>
    <row r="96" spans="1:16">
      <c r="A96" s="12" t="str">
        <f>IF(字段输入模板!P95="","",IFERROR(字段输入模板!P95,""))</f>
        <v/>
      </c>
      <c r="B96" s="12" t="str">
        <f>IF(字段输入模板!P95="","",IF(字段输入模板!C95="",IFERROR(字段输入模板!B95,""),IFERROR(字段输入模板!C95,"")))</f>
        <v/>
      </c>
      <c r="C96" s="12" t="str">
        <f>IF(字段输入模板!P95="","",IFERROR(字段输入模板!I95,""))</f>
        <v/>
      </c>
      <c r="D96" s="9" t="str">
        <f>IF(字段输入模板!P95="","",IFERROR(字段输入模板!Q95,""))</f>
        <v/>
      </c>
      <c r="E96" s="9" t="str">
        <f>IF(字段输入模板!P95="","",IFERROR(字段输入模板!L95,""))</f>
        <v/>
      </c>
      <c r="F96" s="9" t="str">
        <f>IF(字段输入模板!P95="","",IFERROR(字段输入模板!J95,""))</f>
        <v/>
      </c>
      <c r="G96" s="9" t="str">
        <f>IF(字段输入模板!P95="","",IFERROR(字段输入模板!K95,""))</f>
        <v/>
      </c>
      <c r="H96" s="12" t="str">
        <f>IF(字段输入模板!P95="","",IFERROR(字段输入模板!M95,""))</f>
        <v/>
      </c>
      <c r="I96" s="12" t="str">
        <f>IF(字段输入模板!P95="","",IFERROR(字段输入模板!N95,""))</f>
        <v/>
      </c>
      <c r="J96" s="12" t="str">
        <f>IF(字段输入模板!P95="","",IFERROR(字段输入模板!E95,""))</f>
        <v/>
      </c>
      <c r="K96" s="12" t="str">
        <f>IF(字段输入模板!P95="","",IFERROR(字段输入模板!O95,""))</f>
        <v/>
      </c>
      <c r="L96" s="9" t="str">
        <f>IF(字段输入模板!P95="","",IFERROR(字段输入模板!A95,""))</f>
        <v/>
      </c>
      <c r="M96" s="9" t="str">
        <f>IF(字段输入模板!P95="","",IFERROR(字段输入模板!F95,""))</f>
        <v/>
      </c>
      <c r="N96" s="9" t="str">
        <f>IF(字段输入模板!P95="","",IFERROR(字段输入模板!G95,""))</f>
        <v/>
      </c>
      <c r="O96" s="12" t="str">
        <f>IF(字段输入模板!P95="","",IFERROR(字段输入模板!H95,""))</f>
        <v/>
      </c>
      <c r="P96" s="13" t="str">
        <f>IF(字段输入模板!P95="","",IFERROR(字段输入模板!R95,""))</f>
        <v/>
      </c>
    </row>
    <row r="97" spans="1:16">
      <c r="A97" s="12" t="str">
        <f>IF(字段输入模板!P96="","",IFERROR(字段输入模板!P96,""))</f>
        <v/>
      </c>
      <c r="B97" s="12" t="str">
        <f>IF(字段输入模板!P96="","",IF(字段输入模板!C96="",IFERROR(字段输入模板!B96,""),IFERROR(字段输入模板!C96,"")))</f>
        <v/>
      </c>
      <c r="C97" s="12" t="str">
        <f>IF(字段输入模板!P96="","",IFERROR(字段输入模板!I96,""))</f>
        <v/>
      </c>
      <c r="D97" s="9" t="str">
        <f>IF(字段输入模板!P96="","",IFERROR(字段输入模板!Q96,""))</f>
        <v/>
      </c>
      <c r="E97" s="9" t="str">
        <f>IF(字段输入模板!P96="","",IFERROR(字段输入模板!L96,""))</f>
        <v/>
      </c>
      <c r="F97" s="9" t="str">
        <f>IF(字段输入模板!P96="","",IFERROR(字段输入模板!J96,""))</f>
        <v/>
      </c>
      <c r="G97" s="9" t="str">
        <f>IF(字段输入模板!P96="","",IFERROR(字段输入模板!K96,""))</f>
        <v/>
      </c>
      <c r="H97" s="12" t="str">
        <f>IF(字段输入模板!P96="","",IFERROR(字段输入模板!M96,""))</f>
        <v/>
      </c>
      <c r="I97" s="12" t="str">
        <f>IF(字段输入模板!P96="","",IFERROR(字段输入模板!N96,""))</f>
        <v/>
      </c>
      <c r="J97" s="12" t="str">
        <f>IF(字段输入模板!P96="","",IFERROR(字段输入模板!E96,""))</f>
        <v/>
      </c>
      <c r="K97" s="12" t="str">
        <f>IF(字段输入模板!P96="","",IFERROR(字段输入模板!O96,""))</f>
        <v/>
      </c>
      <c r="L97" s="9" t="str">
        <f>IF(字段输入模板!P96="","",IFERROR(字段输入模板!A96,""))</f>
        <v/>
      </c>
      <c r="M97" s="9" t="str">
        <f>IF(字段输入模板!P96="","",IFERROR(字段输入模板!F96,""))</f>
        <v/>
      </c>
      <c r="N97" s="9" t="str">
        <f>IF(字段输入模板!P96="","",IFERROR(字段输入模板!G96,""))</f>
        <v/>
      </c>
      <c r="O97" s="12" t="str">
        <f>IF(字段输入模板!P96="","",IFERROR(字段输入模板!H96,""))</f>
        <v/>
      </c>
      <c r="P97" s="13" t="str">
        <f>IF(字段输入模板!P96="","",IFERROR(字段输入模板!R96,""))</f>
        <v/>
      </c>
    </row>
    <row r="98" spans="1:16">
      <c r="A98" s="12" t="str">
        <f>IF(字段输入模板!P97="","",IFERROR(字段输入模板!P97,""))</f>
        <v/>
      </c>
      <c r="B98" s="12" t="str">
        <f>IF(字段输入模板!P97="","",IF(字段输入模板!C97="",IFERROR(字段输入模板!B97,""),IFERROR(字段输入模板!C97,"")))</f>
        <v/>
      </c>
      <c r="C98" s="12" t="str">
        <f>IF(字段输入模板!P97="","",IFERROR(字段输入模板!I97,""))</f>
        <v/>
      </c>
      <c r="D98" s="9" t="str">
        <f>IF(字段输入模板!P97="","",IFERROR(字段输入模板!Q97,""))</f>
        <v/>
      </c>
      <c r="E98" s="9" t="str">
        <f>IF(字段输入模板!P97="","",IFERROR(字段输入模板!L97,""))</f>
        <v/>
      </c>
      <c r="F98" s="9" t="str">
        <f>IF(字段输入模板!P97="","",IFERROR(字段输入模板!J97,""))</f>
        <v/>
      </c>
      <c r="G98" s="9" t="str">
        <f>IF(字段输入模板!P97="","",IFERROR(字段输入模板!K97,""))</f>
        <v/>
      </c>
      <c r="H98" s="12" t="str">
        <f>IF(字段输入模板!P97="","",IFERROR(字段输入模板!M97,""))</f>
        <v/>
      </c>
      <c r="I98" s="12" t="str">
        <f>IF(字段输入模板!P97="","",IFERROR(字段输入模板!N97,""))</f>
        <v/>
      </c>
      <c r="J98" s="12" t="str">
        <f>IF(字段输入模板!P97="","",IFERROR(字段输入模板!E97,""))</f>
        <v/>
      </c>
      <c r="K98" s="12" t="str">
        <f>IF(字段输入模板!P97="","",IFERROR(字段输入模板!O97,""))</f>
        <v/>
      </c>
      <c r="L98" s="9" t="str">
        <f>IF(字段输入模板!P97="","",IFERROR(字段输入模板!A97,""))</f>
        <v/>
      </c>
      <c r="M98" s="9" t="str">
        <f>IF(字段输入模板!P97="","",IFERROR(字段输入模板!F97,""))</f>
        <v/>
      </c>
      <c r="N98" s="9" t="str">
        <f>IF(字段输入模板!P97="","",IFERROR(字段输入模板!G97,""))</f>
        <v/>
      </c>
      <c r="O98" s="12" t="str">
        <f>IF(字段输入模板!P97="","",IFERROR(字段输入模板!H97,""))</f>
        <v/>
      </c>
      <c r="P98" s="13" t="str">
        <f>IF(字段输入模板!P97="","",IFERROR(字段输入模板!R97,""))</f>
        <v/>
      </c>
    </row>
    <row r="99" spans="1:16">
      <c r="A99" s="12" t="str">
        <f>IF(字段输入模板!P98="","",IFERROR(字段输入模板!P98,""))</f>
        <v/>
      </c>
      <c r="B99" s="12" t="str">
        <f>IF(字段输入模板!P98="","",IF(字段输入模板!C98="",IFERROR(字段输入模板!B98,""),IFERROR(字段输入模板!C98,"")))</f>
        <v/>
      </c>
      <c r="C99" s="12" t="str">
        <f>IF(字段输入模板!P98="","",IFERROR(字段输入模板!I98,""))</f>
        <v/>
      </c>
      <c r="D99" s="9" t="str">
        <f>IF(字段输入模板!P98="","",IFERROR(字段输入模板!Q98,""))</f>
        <v/>
      </c>
      <c r="E99" s="9" t="str">
        <f>IF(字段输入模板!P98="","",IFERROR(字段输入模板!L98,""))</f>
        <v/>
      </c>
      <c r="F99" s="9" t="str">
        <f>IF(字段输入模板!P98="","",IFERROR(字段输入模板!J98,""))</f>
        <v/>
      </c>
      <c r="G99" s="9" t="str">
        <f>IF(字段输入模板!P98="","",IFERROR(字段输入模板!K98,""))</f>
        <v/>
      </c>
      <c r="H99" s="12" t="str">
        <f>IF(字段输入模板!P98="","",IFERROR(字段输入模板!M98,""))</f>
        <v/>
      </c>
      <c r="I99" s="12" t="str">
        <f>IF(字段输入模板!P98="","",IFERROR(字段输入模板!N98,""))</f>
        <v/>
      </c>
      <c r="J99" s="12" t="str">
        <f>IF(字段输入模板!P98="","",IFERROR(字段输入模板!E98,""))</f>
        <v/>
      </c>
      <c r="K99" s="12" t="str">
        <f>IF(字段输入模板!P98="","",IFERROR(字段输入模板!O98,""))</f>
        <v/>
      </c>
      <c r="L99" s="9" t="str">
        <f>IF(字段输入模板!P98="","",IFERROR(字段输入模板!A98,""))</f>
        <v/>
      </c>
      <c r="M99" s="9" t="str">
        <f>IF(字段输入模板!P98="","",IFERROR(字段输入模板!F98,""))</f>
        <v/>
      </c>
      <c r="N99" s="9" t="str">
        <f>IF(字段输入模板!P98="","",IFERROR(字段输入模板!G98,""))</f>
        <v/>
      </c>
      <c r="O99" s="12" t="str">
        <f>IF(字段输入模板!P98="","",IFERROR(字段输入模板!H98,""))</f>
        <v/>
      </c>
      <c r="P99" s="13" t="str">
        <f>IF(字段输入模板!P98="","",IFERROR(字段输入模板!R98,""))</f>
        <v/>
      </c>
    </row>
    <row r="100" spans="1:16">
      <c r="A100" s="12" t="str">
        <f>IF(字段输入模板!P99="","",IFERROR(字段输入模板!P99,""))</f>
        <v/>
      </c>
      <c r="B100" s="12" t="str">
        <f>IF(字段输入模板!P99="","",IF(字段输入模板!C99="",IFERROR(字段输入模板!B99,""),IFERROR(字段输入模板!C99,"")))</f>
        <v/>
      </c>
      <c r="C100" s="12" t="str">
        <f>IF(字段输入模板!P99="","",IFERROR(字段输入模板!I99,""))</f>
        <v/>
      </c>
      <c r="D100" s="9" t="str">
        <f>IF(字段输入模板!P99="","",IFERROR(字段输入模板!Q99,""))</f>
        <v/>
      </c>
      <c r="E100" s="9" t="str">
        <f>IF(字段输入模板!P99="","",IFERROR(字段输入模板!L99,""))</f>
        <v/>
      </c>
      <c r="F100" s="9" t="str">
        <f>IF(字段输入模板!P99="","",IFERROR(字段输入模板!J99,""))</f>
        <v/>
      </c>
      <c r="G100" s="9" t="str">
        <f>IF(字段输入模板!P99="","",IFERROR(字段输入模板!K99,""))</f>
        <v/>
      </c>
      <c r="H100" s="12" t="str">
        <f>IF(字段输入模板!P99="","",IFERROR(字段输入模板!M99,""))</f>
        <v/>
      </c>
      <c r="I100" s="12" t="str">
        <f>IF(字段输入模板!P99="","",IFERROR(字段输入模板!N99,""))</f>
        <v/>
      </c>
      <c r="J100" s="12" t="str">
        <f>IF(字段输入模板!P99="","",IFERROR(字段输入模板!E99,""))</f>
        <v/>
      </c>
      <c r="K100" s="12" t="str">
        <f>IF(字段输入模板!P99="","",IFERROR(字段输入模板!O99,""))</f>
        <v/>
      </c>
      <c r="L100" s="9" t="str">
        <f>IF(字段输入模板!P99="","",IFERROR(字段输入模板!A99,""))</f>
        <v/>
      </c>
      <c r="M100" s="9" t="str">
        <f>IF(字段输入模板!P99="","",IFERROR(字段输入模板!F99,""))</f>
        <v/>
      </c>
      <c r="N100" s="9" t="str">
        <f>IF(字段输入模板!P99="","",IFERROR(字段输入模板!G99,""))</f>
        <v/>
      </c>
      <c r="O100" s="12" t="str">
        <f>IF(字段输入模板!P99="","",IFERROR(字段输入模板!H99,""))</f>
        <v/>
      </c>
      <c r="P100" s="13" t="str">
        <f>IF(字段输入模板!P99="","",IFERROR(字段输入模板!R99,""))</f>
        <v/>
      </c>
    </row>
    <row r="101" spans="1:16">
      <c r="A101" s="12" t="str">
        <f>IF(字段输入模板!P100="","",IFERROR(字段输入模板!P100,""))</f>
        <v/>
      </c>
      <c r="B101" s="12" t="str">
        <f>IF(字段输入模板!P100="","",IF(字段输入模板!C100="",IFERROR(字段输入模板!B100,""),IFERROR(字段输入模板!C100,"")))</f>
        <v/>
      </c>
      <c r="C101" s="12" t="str">
        <f>IF(字段输入模板!P100="","",IFERROR(字段输入模板!I100,""))</f>
        <v/>
      </c>
      <c r="D101" s="9" t="str">
        <f>IF(字段输入模板!P100="","",IFERROR(字段输入模板!Q100,""))</f>
        <v/>
      </c>
      <c r="E101" s="9" t="str">
        <f>IF(字段输入模板!P100="","",IFERROR(字段输入模板!L100,""))</f>
        <v/>
      </c>
      <c r="F101" s="9" t="str">
        <f>IF(字段输入模板!P100="","",IFERROR(字段输入模板!J100,""))</f>
        <v/>
      </c>
      <c r="G101" s="9" t="str">
        <f>IF(字段输入模板!P100="","",IFERROR(字段输入模板!K100,""))</f>
        <v/>
      </c>
      <c r="H101" s="12" t="str">
        <f>IF(字段输入模板!P100="","",IFERROR(字段输入模板!M100,""))</f>
        <v/>
      </c>
      <c r="I101" s="12" t="str">
        <f>IF(字段输入模板!P100="","",IFERROR(字段输入模板!N100,""))</f>
        <v/>
      </c>
      <c r="J101" s="12" t="str">
        <f>IF(字段输入模板!P100="","",IFERROR(字段输入模板!E100,""))</f>
        <v/>
      </c>
      <c r="K101" s="12" t="str">
        <f>IF(字段输入模板!P100="","",IFERROR(字段输入模板!O100,""))</f>
        <v/>
      </c>
      <c r="L101" s="9" t="str">
        <f>IF(字段输入模板!P100="","",IFERROR(字段输入模板!A100,""))</f>
        <v/>
      </c>
      <c r="M101" s="9" t="str">
        <f>IF(字段输入模板!P100="","",IFERROR(字段输入模板!F100,""))</f>
        <v/>
      </c>
      <c r="N101" s="9" t="str">
        <f>IF(字段输入模板!P100="","",IFERROR(字段输入模板!G100,""))</f>
        <v/>
      </c>
      <c r="O101" s="12" t="str">
        <f>IF(字段输入模板!P100="","",IFERROR(字段输入模板!H100,""))</f>
        <v/>
      </c>
      <c r="P101" s="13" t="str">
        <f>IF(字段输入模板!P100="","",IFERROR(字段输入模板!R100,""))</f>
        <v/>
      </c>
    </row>
    <row r="102" spans="1:16">
      <c r="A102" s="12" t="str">
        <f>IF(字段输入模板!P101="","",IFERROR(字段输入模板!P101,""))</f>
        <v/>
      </c>
      <c r="B102" s="12" t="str">
        <f>IF(字段输入模板!P101="","",IF(字段输入模板!C101="",IFERROR(字段输入模板!B101,""),IFERROR(字段输入模板!C101,"")))</f>
        <v/>
      </c>
      <c r="C102" s="12" t="str">
        <f>IF(字段输入模板!P101="","",IFERROR(字段输入模板!I101,""))</f>
        <v/>
      </c>
      <c r="D102" s="9" t="str">
        <f>IF(字段输入模板!P101="","",IFERROR(字段输入模板!Q101,""))</f>
        <v/>
      </c>
      <c r="E102" s="9" t="str">
        <f>IF(字段输入模板!P101="","",IFERROR(字段输入模板!L101,""))</f>
        <v/>
      </c>
      <c r="F102" s="9" t="str">
        <f>IF(字段输入模板!P101="","",IFERROR(字段输入模板!J101,""))</f>
        <v/>
      </c>
      <c r="G102" s="9" t="str">
        <f>IF(字段输入模板!P101="","",IFERROR(字段输入模板!K101,""))</f>
        <v/>
      </c>
      <c r="H102" s="12" t="str">
        <f>IF(字段输入模板!P101="","",IFERROR(字段输入模板!M101,""))</f>
        <v/>
      </c>
      <c r="I102" s="12" t="str">
        <f>IF(字段输入模板!P101="","",IFERROR(字段输入模板!N101,""))</f>
        <v/>
      </c>
      <c r="J102" s="12" t="str">
        <f>IF(字段输入模板!P101="","",IFERROR(字段输入模板!E101,""))</f>
        <v/>
      </c>
      <c r="K102" s="12" t="str">
        <f>IF(字段输入模板!P101="","",IFERROR(字段输入模板!O101,""))</f>
        <v/>
      </c>
      <c r="L102" s="9" t="str">
        <f>IF(字段输入模板!P101="","",IFERROR(字段输入模板!A101,""))</f>
        <v/>
      </c>
      <c r="M102" s="9" t="str">
        <f>IF(字段输入模板!P101="","",IFERROR(字段输入模板!F101,""))</f>
        <v/>
      </c>
      <c r="N102" s="9" t="str">
        <f>IF(字段输入模板!P101="","",IFERROR(字段输入模板!G101,""))</f>
        <v/>
      </c>
      <c r="O102" s="12" t="str">
        <f>IF(字段输入模板!P101="","",IFERROR(字段输入模板!H101,""))</f>
        <v/>
      </c>
      <c r="P102" s="13" t="str">
        <f>IF(字段输入模板!P101="","",IFERROR(字段输入模板!R101,""))</f>
        <v/>
      </c>
    </row>
    <row r="103" spans="1:16">
      <c r="A103" s="12" t="str">
        <f>IF(字段输入模板!P102="","",IFERROR(字段输入模板!P102,""))</f>
        <v/>
      </c>
      <c r="B103" s="12" t="str">
        <f>IF(字段输入模板!P102="","",IF(字段输入模板!C102="",IFERROR(字段输入模板!B102,""),IFERROR(字段输入模板!C102,"")))</f>
        <v/>
      </c>
      <c r="C103" s="12" t="str">
        <f>IF(字段输入模板!P102="","",IFERROR(字段输入模板!I102,""))</f>
        <v/>
      </c>
      <c r="D103" s="9" t="str">
        <f>IF(字段输入模板!P102="","",IFERROR(字段输入模板!Q102,""))</f>
        <v/>
      </c>
      <c r="E103" s="9" t="str">
        <f>IF(字段输入模板!P102="","",IFERROR(字段输入模板!L102,""))</f>
        <v/>
      </c>
      <c r="F103" s="9" t="str">
        <f>IF(字段输入模板!P102="","",IFERROR(字段输入模板!J102,""))</f>
        <v/>
      </c>
      <c r="G103" s="9" t="str">
        <f>IF(字段输入模板!P102="","",IFERROR(字段输入模板!K102,""))</f>
        <v/>
      </c>
      <c r="H103" s="12" t="str">
        <f>IF(字段输入模板!P102="","",IFERROR(字段输入模板!M102,""))</f>
        <v/>
      </c>
      <c r="I103" s="12" t="str">
        <f>IF(字段输入模板!P102="","",IFERROR(字段输入模板!N102,""))</f>
        <v/>
      </c>
      <c r="J103" s="12" t="str">
        <f>IF(字段输入模板!P102="","",IFERROR(字段输入模板!E102,""))</f>
        <v/>
      </c>
      <c r="K103" s="12" t="str">
        <f>IF(字段输入模板!P102="","",IFERROR(字段输入模板!O102,""))</f>
        <v/>
      </c>
      <c r="L103" s="9" t="str">
        <f>IF(字段输入模板!P102="","",IFERROR(字段输入模板!A102,""))</f>
        <v/>
      </c>
      <c r="M103" s="9" t="str">
        <f>IF(字段输入模板!P102="","",IFERROR(字段输入模板!F102,""))</f>
        <v/>
      </c>
      <c r="N103" s="9" t="str">
        <f>IF(字段输入模板!P102="","",IFERROR(字段输入模板!G102,""))</f>
        <v/>
      </c>
      <c r="O103" s="12" t="str">
        <f>IF(字段输入模板!P102="","",IFERROR(字段输入模板!H102,""))</f>
        <v/>
      </c>
      <c r="P103" s="13" t="str">
        <f>IF(字段输入模板!P102="","",IFERROR(字段输入模板!R102,""))</f>
        <v/>
      </c>
    </row>
    <row r="104" spans="1:16">
      <c r="A104" s="12" t="str">
        <f>IF(字段输入模板!P103="","",IFERROR(字段输入模板!P103,""))</f>
        <v/>
      </c>
      <c r="B104" s="12" t="str">
        <f>IF(字段输入模板!P103="","",IF(字段输入模板!C103="",IFERROR(字段输入模板!B103,""),IFERROR(字段输入模板!C103,"")))</f>
        <v/>
      </c>
      <c r="C104" s="12" t="str">
        <f>IF(字段输入模板!P103="","",IFERROR(字段输入模板!I103,""))</f>
        <v/>
      </c>
      <c r="D104" s="9" t="str">
        <f>IF(字段输入模板!P103="","",IFERROR(字段输入模板!Q103,""))</f>
        <v/>
      </c>
      <c r="E104" s="9" t="str">
        <f>IF(字段输入模板!P103="","",IFERROR(字段输入模板!L103,""))</f>
        <v/>
      </c>
      <c r="F104" s="9" t="str">
        <f>IF(字段输入模板!P103="","",IFERROR(字段输入模板!J103,""))</f>
        <v/>
      </c>
      <c r="G104" s="9" t="str">
        <f>IF(字段输入模板!P103="","",IFERROR(字段输入模板!K103,""))</f>
        <v/>
      </c>
      <c r="H104" s="12" t="str">
        <f>IF(字段输入模板!P103="","",IFERROR(字段输入模板!M103,""))</f>
        <v/>
      </c>
      <c r="I104" s="12" t="str">
        <f>IF(字段输入模板!P103="","",IFERROR(字段输入模板!N103,""))</f>
        <v/>
      </c>
      <c r="J104" s="12" t="str">
        <f>IF(字段输入模板!P103="","",IFERROR(字段输入模板!E103,""))</f>
        <v/>
      </c>
      <c r="K104" s="12" t="str">
        <f>IF(字段输入模板!P103="","",IFERROR(字段输入模板!O103,""))</f>
        <v/>
      </c>
      <c r="L104" s="9" t="str">
        <f>IF(字段输入模板!P103="","",IFERROR(字段输入模板!A103,""))</f>
        <v/>
      </c>
      <c r="M104" s="9" t="str">
        <f>IF(字段输入模板!P103="","",IFERROR(字段输入模板!F103,""))</f>
        <v/>
      </c>
      <c r="N104" s="9" t="str">
        <f>IF(字段输入模板!P103="","",IFERROR(字段输入模板!G103,""))</f>
        <v/>
      </c>
      <c r="O104" s="12" t="str">
        <f>IF(字段输入模板!P103="","",IFERROR(字段输入模板!H103,""))</f>
        <v/>
      </c>
      <c r="P104" s="13" t="str">
        <f>IF(字段输入模板!P103="","",IFERROR(字段输入模板!R103,""))</f>
        <v/>
      </c>
    </row>
    <row r="105" spans="1:16">
      <c r="A105" s="12" t="str">
        <f>IF(字段输入模板!P104="","",IFERROR(字段输入模板!P104,""))</f>
        <v/>
      </c>
      <c r="B105" s="12" t="str">
        <f>IF(字段输入模板!P104="","",IF(字段输入模板!C104="",IFERROR(字段输入模板!B104,""),IFERROR(字段输入模板!C104,"")))</f>
        <v/>
      </c>
      <c r="C105" s="12" t="str">
        <f>IF(字段输入模板!P104="","",IFERROR(字段输入模板!I104,""))</f>
        <v/>
      </c>
      <c r="D105" s="9" t="str">
        <f>IF(字段输入模板!P104="","",IFERROR(字段输入模板!Q104,""))</f>
        <v/>
      </c>
      <c r="E105" s="9" t="str">
        <f>IF(字段输入模板!P104="","",IFERROR(字段输入模板!L104,""))</f>
        <v/>
      </c>
      <c r="F105" s="9" t="str">
        <f>IF(字段输入模板!P104="","",IFERROR(字段输入模板!J104,""))</f>
        <v/>
      </c>
      <c r="G105" s="9" t="str">
        <f>IF(字段输入模板!P104="","",IFERROR(字段输入模板!K104,""))</f>
        <v/>
      </c>
      <c r="H105" s="12" t="str">
        <f>IF(字段输入模板!P104="","",IFERROR(字段输入模板!M104,""))</f>
        <v/>
      </c>
      <c r="I105" s="12" t="str">
        <f>IF(字段输入模板!P104="","",IFERROR(字段输入模板!N104,""))</f>
        <v/>
      </c>
      <c r="J105" s="12" t="str">
        <f>IF(字段输入模板!P104="","",IFERROR(字段输入模板!E104,""))</f>
        <v/>
      </c>
      <c r="K105" s="12" t="str">
        <f>IF(字段输入模板!P104="","",IFERROR(字段输入模板!O104,""))</f>
        <v/>
      </c>
      <c r="L105" s="9" t="str">
        <f>IF(字段输入模板!P104="","",IFERROR(字段输入模板!A104,""))</f>
        <v/>
      </c>
      <c r="M105" s="9" t="str">
        <f>IF(字段输入模板!P104="","",IFERROR(字段输入模板!F104,""))</f>
        <v/>
      </c>
      <c r="N105" s="9" t="str">
        <f>IF(字段输入模板!P104="","",IFERROR(字段输入模板!G104,""))</f>
        <v/>
      </c>
      <c r="O105" s="12" t="str">
        <f>IF(字段输入模板!P104="","",IFERROR(字段输入模板!H104,""))</f>
        <v/>
      </c>
      <c r="P105" s="13" t="str">
        <f>IF(字段输入模板!P104="","",IFERROR(字段输入模板!R104,""))</f>
        <v/>
      </c>
    </row>
    <row r="106" spans="1:16">
      <c r="A106" s="12" t="str">
        <f>IF(字段输入模板!P105="","",IFERROR(字段输入模板!P105,""))</f>
        <v/>
      </c>
      <c r="B106" s="12" t="str">
        <f>IF(字段输入模板!P105="","",IF(字段输入模板!C105="",IFERROR(字段输入模板!B105,""),IFERROR(字段输入模板!C105,"")))</f>
        <v/>
      </c>
      <c r="C106" s="12" t="str">
        <f>IF(字段输入模板!P105="","",IFERROR(字段输入模板!I105,""))</f>
        <v/>
      </c>
      <c r="D106" s="9" t="str">
        <f>IF(字段输入模板!P105="","",IFERROR(字段输入模板!Q105,""))</f>
        <v/>
      </c>
      <c r="E106" s="9" t="str">
        <f>IF(字段输入模板!P105="","",IFERROR(字段输入模板!L105,""))</f>
        <v/>
      </c>
      <c r="F106" s="9" t="str">
        <f>IF(字段输入模板!P105="","",IFERROR(字段输入模板!J105,""))</f>
        <v/>
      </c>
      <c r="G106" s="9" t="str">
        <f>IF(字段输入模板!P105="","",IFERROR(字段输入模板!K105,""))</f>
        <v/>
      </c>
      <c r="H106" s="12" t="str">
        <f>IF(字段输入模板!P105="","",IFERROR(字段输入模板!M105,""))</f>
        <v/>
      </c>
      <c r="I106" s="12" t="str">
        <f>IF(字段输入模板!P105="","",IFERROR(字段输入模板!N105,""))</f>
        <v/>
      </c>
      <c r="J106" s="12" t="str">
        <f>IF(字段输入模板!P105="","",IFERROR(字段输入模板!E105,""))</f>
        <v/>
      </c>
      <c r="K106" s="12" t="str">
        <f>IF(字段输入模板!P105="","",IFERROR(字段输入模板!O105,""))</f>
        <v/>
      </c>
      <c r="L106" s="9" t="str">
        <f>IF(字段输入模板!P105="","",IFERROR(字段输入模板!A105,""))</f>
        <v/>
      </c>
      <c r="M106" s="9" t="str">
        <f>IF(字段输入模板!P105="","",IFERROR(字段输入模板!F105,""))</f>
        <v/>
      </c>
      <c r="N106" s="9" t="str">
        <f>IF(字段输入模板!P105="","",IFERROR(字段输入模板!G105,""))</f>
        <v/>
      </c>
      <c r="O106" s="12" t="str">
        <f>IF(字段输入模板!P105="","",IFERROR(字段输入模板!H105,""))</f>
        <v/>
      </c>
      <c r="P106" s="13" t="str">
        <f>IF(字段输入模板!P105="","",IFERROR(字段输入模板!R105,""))</f>
        <v/>
      </c>
    </row>
    <row r="107" spans="1:16">
      <c r="A107" s="12" t="str">
        <f>IF(字段输入模板!P106="","",IFERROR(字段输入模板!P106,""))</f>
        <v/>
      </c>
      <c r="B107" s="12" t="str">
        <f>IF(字段输入模板!P106="","",IF(字段输入模板!C106="",IFERROR(字段输入模板!B106,""),IFERROR(字段输入模板!C106,"")))</f>
        <v/>
      </c>
      <c r="C107" s="12" t="str">
        <f>IF(字段输入模板!P106="","",IFERROR(字段输入模板!I106,""))</f>
        <v/>
      </c>
      <c r="D107" s="9" t="str">
        <f>IF(字段输入模板!P106="","",IFERROR(字段输入模板!Q106,""))</f>
        <v/>
      </c>
      <c r="E107" s="9" t="str">
        <f>IF(字段输入模板!P106="","",IFERROR(字段输入模板!L106,""))</f>
        <v/>
      </c>
      <c r="F107" s="9" t="str">
        <f>IF(字段输入模板!P106="","",IFERROR(字段输入模板!J106,""))</f>
        <v/>
      </c>
      <c r="G107" s="9" t="str">
        <f>IF(字段输入模板!P106="","",IFERROR(字段输入模板!K106,""))</f>
        <v/>
      </c>
      <c r="H107" s="12" t="str">
        <f>IF(字段输入模板!P106="","",IFERROR(字段输入模板!M106,""))</f>
        <v/>
      </c>
      <c r="I107" s="12" t="str">
        <f>IF(字段输入模板!P106="","",IFERROR(字段输入模板!N106,""))</f>
        <v/>
      </c>
      <c r="J107" s="12" t="str">
        <f>IF(字段输入模板!P106="","",IFERROR(字段输入模板!E106,""))</f>
        <v/>
      </c>
      <c r="K107" s="12" t="str">
        <f>IF(字段输入模板!P106="","",IFERROR(字段输入模板!O106,""))</f>
        <v/>
      </c>
      <c r="L107" s="9" t="str">
        <f>IF(字段输入模板!P106="","",IFERROR(字段输入模板!A106,""))</f>
        <v/>
      </c>
      <c r="M107" s="9" t="str">
        <f>IF(字段输入模板!P106="","",IFERROR(字段输入模板!F106,""))</f>
        <v/>
      </c>
      <c r="N107" s="9" t="str">
        <f>IF(字段输入模板!P106="","",IFERROR(字段输入模板!G106,""))</f>
        <v/>
      </c>
      <c r="O107" s="12" t="str">
        <f>IF(字段输入模板!P106="","",IFERROR(字段输入模板!H106,""))</f>
        <v/>
      </c>
      <c r="P107" s="13" t="str">
        <f>IF(字段输入模板!P106="","",IFERROR(字段输入模板!R106,""))</f>
        <v/>
      </c>
    </row>
    <row r="108" spans="1:16">
      <c r="A108" s="12" t="str">
        <f>IF(字段输入模板!P107="","",IFERROR(字段输入模板!P107,""))</f>
        <v/>
      </c>
      <c r="B108" s="12" t="str">
        <f>IF(字段输入模板!P107="","",IF(字段输入模板!C107="",IFERROR(字段输入模板!B107,""),IFERROR(字段输入模板!C107,"")))</f>
        <v/>
      </c>
      <c r="C108" s="12" t="str">
        <f>IF(字段输入模板!P107="","",IFERROR(字段输入模板!I107,""))</f>
        <v/>
      </c>
      <c r="D108" s="9" t="str">
        <f>IF(字段输入模板!P107="","",IFERROR(字段输入模板!Q107,""))</f>
        <v/>
      </c>
      <c r="E108" s="9" t="str">
        <f>IF(字段输入模板!P107="","",IFERROR(字段输入模板!L107,""))</f>
        <v/>
      </c>
      <c r="F108" s="9" t="str">
        <f>IF(字段输入模板!P107="","",IFERROR(字段输入模板!J107,""))</f>
        <v/>
      </c>
      <c r="G108" s="9" t="str">
        <f>IF(字段输入模板!P107="","",IFERROR(字段输入模板!K107,""))</f>
        <v/>
      </c>
      <c r="H108" s="12" t="str">
        <f>IF(字段输入模板!P107="","",IFERROR(字段输入模板!M107,""))</f>
        <v/>
      </c>
      <c r="I108" s="12" t="str">
        <f>IF(字段输入模板!P107="","",IFERROR(字段输入模板!N107,""))</f>
        <v/>
      </c>
      <c r="J108" s="12" t="str">
        <f>IF(字段输入模板!P107="","",IFERROR(字段输入模板!E107,""))</f>
        <v/>
      </c>
      <c r="K108" s="12" t="str">
        <f>IF(字段输入模板!P107="","",IFERROR(字段输入模板!O107,""))</f>
        <v/>
      </c>
      <c r="L108" s="9" t="str">
        <f>IF(字段输入模板!P107="","",IFERROR(字段输入模板!A107,""))</f>
        <v/>
      </c>
      <c r="M108" s="9" t="str">
        <f>IF(字段输入模板!P107="","",IFERROR(字段输入模板!F107,""))</f>
        <v/>
      </c>
      <c r="N108" s="9" t="str">
        <f>IF(字段输入模板!P107="","",IFERROR(字段输入模板!G107,""))</f>
        <v/>
      </c>
      <c r="O108" s="12" t="str">
        <f>IF(字段输入模板!P107="","",IFERROR(字段输入模板!H107,""))</f>
        <v/>
      </c>
      <c r="P108" s="13" t="str">
        <f>IF(字段输入模板!P107="","",IFERROR(字段输入模板!R107,""))</f>
        <v/>
      </c>
    </row>
    <row r="109" spans="1:16">
      <c r="A109" s="12" t="str">
        <f>IF(字段输入模板!P108="","",IFERROR(字段输入模板!P108,""))</f>
        <v/>
      </c>
      <c r="B109" s="12" t="str">
        <f>IF(字段输入模板!P108="","",IF(字段输入模板!C108="",IFERROR(字段输入模板!B108,""),IFERROR(字段输入模板!C108,"")))</f>
        <v/>
      </c>
      <c r="C109" s="12" t="str">
        <f>IF(字段输入模板!P108="","",IFERROR(字段输入模板!I108,""))</f>
        <v/>
      </c>
      <c r="D109" s="9" t="str">
        <f>IF(字段输入模板!P108="","",IFERROR(字段输入模板!Q108,""))</f>
        <v/>
      </c>
      <c r="E109" s="9" t="str">
        <f>IF(字段输入模板!P108="","",IFERROR(字段输入模板!L108,""))</f>
        <v/>
      </c>
      <c r="F109" s="9" t="str">
        <f>IF(字段输入模板!P108="","",IFERROR(字段输入模板!J108,""))</f>
        <v/>
      </c>
      <c r="G109" s="9" t="str">
        <f>IF(字段输入模板!P108="","",IFERROR(字段输入模板!K108,""))</f>
        <v/>
      </c>
      <c r="H109" s="12" t="str">
        <f>IF(字段输入模板!P108="","",IFERROR(字段输入模板!M108,""))</f>
        <v/>
      </c>
      <c r="I109" s="12" t="str">
        <f>IF(字段输入模板!P108="","",IFERROR(字段输入模板!N108,""))</f>
        <v/>
      </c>
      <c r="J109" s="12" t="str">
        <f>IF(字段输入模板!P108="","",IFERROR(字段输入模板!E108,""))</f>
        <v/>
      </c>
      <c r="K109" s="12" t="str">
        <f>IF(字段输入模板!P108="","",IFERROR(字段输入模板!O108,""))</f>
        <v/>
      </c>
      <c r="L109" s="9" t="str">
        <f>IF(字段输入模板!P108="","",IFERROR(字段输入模板!A108,""))</f>
        <v/>
      </c>
      <c r="M109" s="9" t="str">
        <f>IF(字段输入模板!P108="","",IFERROR(字段输入模板!F108,""))</f>
        <v/>
      </c>
      <c r="N109" s="9" t="str">
        <f>IF(字段输入模板!P108="","",IFERROR(字段输入模板!G108,""))</f>
        <v/>
      </c>
      <c r="O109" s="12" t="str">
        <f>IF(字段输入模板!P108="","",IFERROR(字段输入模板!H108,""))</f>
        <v/>
      </c>
      <c r="P109" s="13" t="str">
        <f>IF(字段输入模板!P108="","",IFERROR(字段输入模板!R108,""))</f>
        <v/>
      </c>
    </row>
    <row r="110" spans="1:16">
      <c r="A110" s="12" t="str">
        <f>IF(字段输入模板!P109="","",IFERROR(字段输入模板!P109,""))</f>
        <v/>
      </c>
      <c r="B110" s="12" t="str">
        <f>IF(字段输入模板!P109="","",IF(字段输入模板!C109="",IFERROR(字段输入模板!B109,""),IFERROR(字段输入模板!C109,"")))</f>
        <v/>
      </c>
      <c r="C110" s="12" t="str">
        <f>IF(字段输入模板!P109="","",IFERROR(字段输入模板!I109,""))</f>
        <v/>
      </c>
      <c r="D110" s="9" t="str">
        <f>IF(字段输入模板!P109="","",IFERROR(字段输入模板!Q109,""))</f>
        <v/>
      </c>
      <c r="E110" s="9" t="str">
        <f>IF(字段输入模板!P109="","",IFERROR(字段输入模板!L109,""))</f>
        <v/>
      </c>
      <c r="F110" s="9" t="str">
        <f>IF(字段输入模板!P109="","",IFERROR(字段输入模板!J109,""))</f>
        <v/>
      </c>
      <c r="G110" s="9" t="str">
        <f>IF(字段输入模板!P109="","",IFERROR(字段输入模板!K109,""))</f>
        <v/>
      </c>
      <c r="H110" s="12" t="str">
        <f>IF(字段输入模板!P109="","",IFERROR(字段输入模板!M109,""))</f>
        <v/>
      </c>
      <c r="I110" s="12" t="str">
        <f>IF(字段输入模板!P109="","",IFERROR(字段输入模板!N109,""))</f>
        <v/>
      </c>
      <c r="J110" s="12" t="str">
        <f>IF(字段输入模板!P109="","",IFERROR(字段输入模板!E109,""))</f>
        <v/>
      </c>
      <c r="K110" s="12" t="str">
        <f>IF(字段输入模板!P109="","",IFERROR(字段输入模板!O109,""))</f>
        <v/>
      </c>
      <c r="L110" s="9" t="str">
        <f>IF(字段输入模板!P109="","",IFERROR(字段输入模板!A109,""))</f>
        <v/>
      </c>
      <c r="M110" s="9" t="str">
        <f>IF(字段输入模板!P109="","",IFERROR(字段输入模板!F109,""))</f>
        <v/>
      </c>
      <c r="N110" s="9" t="str">
        <f>IF(字段输入模板!P109="","",IFERROR(字段输入模板!G109,""))</f>
        <v/>
      </c>
      <c r="O110" s="12" t="str">
        <f>IF(字段输入模板!P109="","",IFERROR(字段输入模板!H109,""))</f>
        <v/>
      </c>
      <c r="P110" s="13" t="str">
        <f>IF(字段输入模板!P109="","",IFERROR(字段输入模板!R109,""))</f>
        <v/>
      </c>
    </row>
    <row r="111" spans="1:16">
      <c r="A111" s="12" t="str">
        <f>IF(字段输入模板!P110="","",IFERROR(字段输入模板!P110,""))</f>
        <v/>
      </c>
      <c r="B111" s="12" t="str">
        <f>IF(字段输入模板!P110="","",IF(字段输入模板!C110="",IFERROR(字段输入模板!B110,""),IFERROR(字段输入模板!C110,"")))</f>
        <v/>
      </c>
      <c r="C111" s="12" t="str">
        <f>IF(字段输入模板!P110="","",IFERROR(字段输入模板!I110,""))</f>
        <v/>
      </c>
      <c r="D111" s="9" t="str">
        <f>IF(字段输入模板!P110="","",IFERROR(字段输入模板!Q110,""))</f>
        <v/>
      </c>
      <c r="E111" s="9" t="str">
        <f>IF(字段输入模板!P110="","",IFERROR(字段输入模板!L110,""))</f>
        <v/>
      </c>
      <c r="F111" s="9" t="str">
        <f>IF(字段输入模板!P110="","",IFERROR(字段输入模板!J110,""))</f>
        <v/>
      </c>
      <c r="G111" s="9" t="str">
        <f>IF(字段输入模板!P110="","",IFERROR(字段输入模板!K110,""))</f>
        <v/>
      </c>
      <c r="H111" s="12" t="str">
        <f>IF(字段输入模板!P110="","",IFERROR(字段输入模板!M110,""))</f>
        <v/>
      </c>
      <c r="I111" s="12" t="str">
        <f>IF(字段输入模板!P110="","",IFERROR(字段输入模板!N110,""))</f>
        <v/>
      </c>
      <c r="J111" s="12" t="str">
        <f>IF(字段输入模板!P110="","",IFERROR(字段输入模板!E110,""))</f>
        <v/>
      </c>
      <c r="K111" s="12" t="str">
        <f>IF(字段输入模板!P110="","",IFERROR(字段输入模板!O110,""))</f>
        <v/>
      </c>
      <c r="L111" s="9" t="str">
        <f>IF(字段输入模板!P110="","",IFERROR(字段输入模板!A110,""))</f>
        <v/>
      </c>
      <c r="M111" s="9" t="str">
        <f>IF(字段输入模板!P110="","",IFERROR(字段输入模板!F110,""))</f>
        <v/>
      </c>
      <c r="N111" s="9" t="str">
        <f>IF(字段输入模板!P110="","",IFERROR(字段输入模板!G110,""))</f>
        <v/>
      </c>
      <c r="O111" s="12" t="str">
        <f>IF(字段输入模板!P110="","",IFERROR(字段输入模板!H110,""))</f>
        <v/>
      </c>
      <c r="P111" s="13" t="str">
        <f>IF(字段输入模板!P110="","",IFERROR(字段输入模板!R110,""))</f>
        <v/>
      </c>
    </row>
    <row r="112" spans="1:16">
      <c r="A112" s="12" t="str">
        <f>IF(字段输入模板!P111="","",IFERROR(字段输入模板!P111,""))</f>
        <v/>
      </c>
      <c r="B112" s="12" t="str">
        <f>IF(字段输入模板!P111="","",IF(字段输入模板!C111="",IFERROR(字段输入模板!B111,""),IFERROR(字段输入模板!C111,"")))</f>
        <v/>
      </c>
      <c r="C112" s="12" t="str">
        <f>IF(字段输入模板!P111="","",IFERROR(字段输入模板!I111,""))</f>
        <v/>
      </c>
      <c r="D112" s="9" t="str">
        <f>IF(字段输入模板!P111="","",IFERROR(字段输入模板!Q111,""))</f>
        <v/>
      </c>
      <c r="E112" s="9" t="str">
        <f>IF(字段输入模板!P111="","",IFERROR(字段输入模板!L111,""))</f>
        <v/>
      </c>
      <c r="F112" s="9" t="str">
        <f>IF(字段输入模板!P111="","",IFERROR(字段输入模板!J111,""))</f>
        <v/>
      </c>
      <c r="G112" s="9" t="str">
        <f>IF(字段输入模板!P111="","",IFERROR(字段输入模板!K111,""))</f>
        <v/>
      </c>
      <c r="H112" s="12" t="str">
        <f>IF(字段输入模板!P111="","",IFERROR(字段输入模板!M111,""))</f>
        <v/>
      </c>
      <c r="I112" s="12" t="str">
        <f>IF(字段输入模板!P111="","",IFERROR(字段输入模板!N111,""))</f>
        <v/>
      </c>
      <c r="J112" s="12" t="str">
        <f>IF(字段输入模板!P111="","",IFERROR(字段输入模板!E111,""))</f>
        <v/>
      </c>
      <c r="K112" s="12" t="str">
        <f>IF(字段输入模板!P111="","",IFERROR(字段输入模板!O111,""))</f>
        <v/>
      </c>
      <c r="L112" s="9" t="str">
        <f>IF(字段输入模板!P111="","",IFERROR(字段输入模板!A111,""))</f>
        <v/>
      </c>
      <c r="M112" s="9" t="str">
        <f>IF(字段输入模板!P111="","",IFERROR(字段输入模板!F111,""))</f>
        <v/>
      </c>
      <c r="N112" s="9" t="str">
        <f>IF(字段输入模板!P111="","",IFERROR(字段输入模板!G111,""))</f>
        <v/>
      </c>
      <c r="O112" s="12" t="str">
        <f>IF(字段输入模板!P111="","",IFERROR(字段输入模板!H111,""))</f>
        <v/>
      </c>
      <c r="P112" s="13" t="str">
        <f>IF(字段输入模板!P111="","",IFERROR(字段输入模板!R111,""))</f>
        <v/>
      </c>
    </row>
    <row r="113" spans="1:16">
      <c r="A113" s="12" t="str">
        <f>IF(字段输入模板!P112="","",IFERROR(字段输入模板!P112,""))</f>
        <v/>
      </c>
      <c r="B113" s="12" t="str">
        <f>IF(字段输入模板!P112="","",IF(字段输入模板!C112="",IFERROR(字段输入模板!B112,""),IFERROR(字段输入模板!C112,"")))</f>
        <v/>
      </c>
      <c r="C113" s="12" t="str">
        <f>IF(字段输入模板!P112="","",IFERROR(字段输入模板!I112,""))</f>
        <v/>
      </c>
      <c r="D113" s="9" t="str">
        <f>IF(字段输入模板!P112="","",IFERROR(字段输入模板!Q112,""))</f>
        <v/>
      </c>
      <c r="E113" s="9" t="str">
        <f>IF(字段输入模板!P112="","",IFERROR(字段输入模板!L112,""))</f>
        <v/>
      </c>
      <c r="F113" s="9" t="str">
        <f>IF(字段输入模板!P112="","",IFERROR(字段输入模板!J112,""))</f>
        <v/>
      </c>
      <c r="G113" s="9" t="str">
        <f>IF(字段输入模板!P112="","",IFERROR(字段输入模板!K112,""))</f>
        <v/>
      </c>
      <c r="H113" s="12" t="str">
        <f>IF(字段输入模板!P112="","",IFERROR(字段输入模板!M112,""))</f>
        <v/>
      </c>
      <c r="I113" s="12" t="str">
        <f>IF(字段输入模板!P112="","",IFERROR(字段输入模板!N112,""))</f>
        <v/>
      </c>
      <c r="J113" s="12" t="str">
        <f>IF(字段输入模板!P112="","",IFERROR(字段输入模板!E112,""))</f>
        <v/>
      </c>
      <c r="K113" s="12" t="str">
        <f>IF(字段输入模板!P112="","",IFERROR(字段输入模板!O112,""))</f>
        <v/>
      </c>
      <c r="L113" s="9" t="str">
        <f>IF(字段输入模板!P112="","",IFERROR(字段输入模板!A112,""))</f>
        <v/>
      </c>
      <c r="M113" s="9" t="str">
        <f>IF(字段输入模板!P112="","",IFERROR(字段输入模板!F112,""))</f>
        <v/>
      </c>
      <c r="N113" s="9" t="str">
        <f>IF(字段输入模板!P112="","",IFERROR(字段输入模板!G112,""))</f>
        <v/>
      </c>
      <c r="O113" s="12" t="str">
        <f>IF(字段输入模板!P112="","",IFERROR(字段输入模板!H112,""))</f>
        <v/>
      </c>
      <c r="P113" s="13" t="str">
        <f>IF(字段输入模板!P112="","",IFERROR(字段输入模板!R112,""))</f>
        <v/>
      </c>
    </row>
    <row r="114" spans="1:16">
      <c r="A114" s="12" t="str">
        <f>IF(字段输入模板!P113="","",IFERROR(字段输入模板!P113,""))</f>
        <v/>
      </c>
      <c r="B114" s="12" t="str">
        <f>IF(字段输入模板!P113="","",IF(字段输入模板!C113="",IFERROR(字段输入模板!B113,""),IFERROR(字段输入模板!C113,"")))</f>
        <v/>
      </c>
      <c r="C114" s="12" t="str">
        <f>IF(字段输入模板!P113="","",IFERROR(字段输入模板!I113,""))</f>
        <v/>
      </c>
      <c r="D114" s="9" t="str">
        <f>IF(字段输入模板!P113="","",IFERROR(字段输入模板!Q113,""))</f>
        <v/>
      </c>
      <c r="E114" s="9" t="str">
        <f>IF(字段输入模板!P113="","",IFERROR(字段输入模板!L113,""))</f>
        <v/>
      </c>
      <c r="F114" s="9" t="str">
        <f>IF(字段输入模板!P113="","",IFERROR(字段输入模板!J113,""))</f>
        <v/>
      </c>
      <c r="G114" s="9" t="str">
        <f>IF(字段输入模板!P113="","",IFERROR(字段输入模板!K113,""))</f>
        <v/>
      </c>
      <c r="H114" s="12" t="str">
        <f>IF(字段输入模板!P113="","",IFERROR(字段输入模板!M113,""))</f>
        <v/>
      </c>
      <c r="I114" s="12" t="str">
        <f>IF(字段输入模板!P113="","",IFERROR(字段输入模板!N113,""))</f>
        <v/>
      </c>
      <c r="J114" s="12" t="str">
        <f>IF(字段输入模板!P113="","",IFERROR(字段输入模板!E113,""))</f>
        <v/>
      </c>
      <c r="K114" s="12" t="str">
        <f>IF(字段输入模板!P113="","",IFERROR(字段输入模板!O113,""))</f>
        <v/>
      </c>
      <c r="L114" s="9" t="str">
        <f>IF(字段输入模板!P113="","",IFERROR(字段输入模板!A113,""))</f>
        <v/>
      </c>
      <c r="M114" s="9" t="str">
        <f>IF(字段输入模板!P113="","",IFERROR(字段输入模板!F113,""))</f>
        <v/>
      </c>
      <c r="N114" s="9" t="str">
        <f>IF(字段输入模板!P113="","",IFERROR(字段输入模板!G113,""))</f>
        <v/>
      </c>
      <c r="O114" s="12" t="str">
        <f>IF(字段输入模板!P113="","",IFERROR(字段输入模板!H113,""))</f>
        <v/>
      </c>
      <c r="P114" s="13" t="str">
        <f>IF(字段输入模板!P113="","",IFERROR(字段输入模板!R113,""))</f>
        <v/>
      </c>
    </row>
    <row r="115" spans="1:16">
      <c r="A115" s="12" t="str">
        <f>IF(字段输入模板!P114="","",IFERROR(字段输入模板!P114,""))</f>
        <v/>
      </c>
      <c r="B115" s="12" t="str">
        <f>IF(字段输入模板!P114="","",IF(字段输入模板!C114="",IFERROR(字段输入模板!B114,""),IFERROR(字段输入模板!C114,"")))</f>
        <v/>
      </c>
      <c r="C115" s="12" t="str">
        <f>IF(字段输入模板!P114="","",IFERROR(字段输入模板!I114,""))</f>
        <v/>
      </c>
      <c r="D115" s="9" t="str">
        <f>IF(字段输入模板!P114="","",IFERROR(字段输入模板!Q114,""))</f>
        <v/>
      </c>
      <c r="E115" s="9" t="str">
        <f>IF(字段输入模板!P114="","",IFERROR(字段输入模板!L114,""))</f>
        <v/>
      </c>
      <c r="F115" s="9" t="str">
        <f>IF(字段输入模板!P114="","",IFERROR(字段输入模板!J114,""))</f>
        <v/>
      </c>
      <c r="G115" s="9" t="str">
        <f>IF(字段输入模板!P114="","",IFERROR(字段输入模板!K114,""))</f>
        <v/>
      </c>
      <c r="H115" s="12" t="str">
        <f>IF(字段输入模板!P114="","",IFERROR(字段输入模板!M114,""))</f>
        <v/>
      </c>
      <c r="I115" s="12" t="str">
        <f>IF(字段输入模板!P114="","",IFERROR(字段输入模板!N114,""))</f>
        <v/>
      </c>
      <c r="J115" s="12" t="str">
        <f>IF(字段输入模板!P114="","",IFERROR(字段输入模板!E114,""))</f>
        <v/>
      </c>
      <c r="K115" s="12" t="str">
        <f>IF(字段输入模板!P114="","",IFERROR(字段输入模板!O114,""))</f>
        <v/>
      </c>
      <c r="L115" s="9" t="str">
        <f>IF(字段输入模板!P114="","",IFERROR(字段输入模板!A114,""))</f>
        <v/>
      </c>
      <c r="M115" s="9" t="str">
        <f>IF(字段输入模板!P114="","",IFERROR(字段输入模板!F114,""))</f>
        <v/>
      </c>
      <c r="N115" s="9" t="str">
        <f>IF(字段输入模板!P114="","",IFERROR(字段输入模板!G114,""))</f>
        <v/>
      </c>
      <c r="O115" s="12" t="str">
        <f>IF(字段输入模板!P114="","",IFERROR(字段输入模板!H114,""))</f>
        <v/>
      </c>
      <c r="P115" s="13" t="str">
        <f>IF(字段输入模板!P114="","",IFERROR(字段输入模板!R114,""))</f>
        <v/>
      </c>
    </row>
    <row r="116" spans="1:16">
      <c r="A116" s="12" t="str">
        <f>IF(字段输入模板!P115="","",IFERROR(字段输入模板!P115,""))</f>
        <v/>
      </c>
      <c r="B116" s="12" t="str">
        <f>IF(字段输入模板!P115="","",IF(字段输入模板!C115="",IFERROR(字段输入模板!B115,""),IFERROR(字段输入模板!C115,"")))</f>
        <v/>
      </c>
      <c r="C116" s="12" t="str">
        <f>IF(字段输入模板!P115="","",IFERROR(字段输入模板!I115,""))</f>
        <v/>
      </c>
      <c r="D116" s="9" t="str">
        <f>IF(字段输入模板!P115="","",IFERROR(字段输入模板!Q115,""))</f>
        <v/>
      </c>
      <c r="E116" s="9" t="str">
        <f>IF(字段输入模板!P115="","",IFERROR(字段输入模板!L115,""))</f>
        <v/>
      </c>
      <c r="F116" s="9" t="str">
        <f>IF(字段输入模板!P115="","",IFERROR(字段输入模板!J115,""))</f>
        <v/>
      </c>
      <c r="G116" s="9" t="str">
        <f>IF(字段输入模板!P115="","",IFERROR(字段输入模板!K115,""))</f>
        <v/>
      </c>
      <c r="H116" s="12" t="str">
        <f>IF(字段输入模板!P115="","",IFERROR(字段输入模板!M115,""))</f>
        <v/>
      </c>
      <c r="I116" s="12" t="str">
        <f>IF(字段输入模板!P115="","",IFERROR(字段输入模板!N115,""))</f>
        <v/>
      </c>
      <c r="J116" s="12" t="str">
        <f>IF(字段输入模板!P115="","",IFERROR(字段输入模板!E115,""))</f>
        <v/>
      </c>
      <c r="K116" s="12" t="str">
        <f>IF(字段输入模板!P115="","",IFERROR(字段输入模板!O115,""))</f>
        <v/>
      </c>
      <c r="L116" s="9" t="str">
        <f>IF(字段输入模板!P115="","",IFERROR(字段输入模板!A115,""))</f>
        <v/>
      </c>
      <c r="M116" s="9" t="str">
        <f>IF(字段输入模板!P115="","",IFERROR(字段输入模板!F115,""))</f>
        <v/>
      </c>
      <c r="N116" s="9" t="str">
        <f>IF(字段输入模板!P115="","",IFERROR(字段输入模板!G115,""))</f>
        <v/>
      </c>
      <c r="O116" s="12" t="str">
        <f>IF(字段输入模板!P115="","",IFERROR(字段输入模板!H115,""))</f>
        <v/>
      </c>
      <c r="P116" s="13" t="str">
        <f>IF(字段输入模板!P115="","",IFERROR(字段输入模板!R115,""))</f>
        <v/>
      </c>
    </row>
    <row r="117" spans="1:16">
      <c r="A117" s="12" t="str">
        <f>IF(字段输入模板!P116="","",IFERROR(字段输入模板!P116,""))</f>
        <v/>
      </c>
      <c r="B117" s="12" t="str">
        <f>IF(字段输入模板!P116="","",IF(字段输入模板!C116="",IFERROR(字段输入模板!B116,""),IFERROR(字段输入模板!C116,"")))</f>
        <v/>
      </c>
      <c r="C117" s="12" t="str">
        <f>IF(字段输入模板!P116="","",IFERROR(字段输入模板!I116,""))</f>
        <v/>
      </c>
      <c r="D117" s="9" t="str">
        <f>IF(字段输入模板!P116="","",IFERROR(字段输入模板!Q116,""))</f>
        <v/>
      </c>
      <c r="E117" s="9" t="str">
        <f>IF(字段输入模板!P116="","",IFERROR(字段输入模板!L116,""))</f>
        <v/>
      </c>
      <c r="F117" s="9" t="str">
        <f>IF(字段输入模板!P116="","",IFERROR(字段输入模板!J116,""))</f>
        <v/>
      </c>
      <c r="G117" s="9" t="str">
        <f>IF(字段输入模板!P116="","",IFERROR(字段输入模板!K116,""))</f>
        <v/>
      </c>
      <c r="H117" s="12" t="str">
        <f>IF(字段输入模板!P116="","",IFERROR(字段输入模板!M116,""))</f>
        <v/>
      </c>
      <c r="I117" s="12" t="str">
        <f>IF(字段输入模板!P116="","",IFERROR(字段输入模板!N116,""))</f>
        <v/>
      </c>
      <c r="J117" s="12" t="str">
        <f>IF(字段输入模板!P116="","",IFERROR(字段输入模板!E116,""))</f>
        <v/>
      </c>
      <c r="K117" s="12" t="str">
        <f>IF(字段输入模板!P116="","",IFERROR(字段输入模板!O116,""))</f>
        <v/>
      </c>
      <c r="L117" s="9" t="str">
        <f>IF(字段输入模板!P116="","",IFERROR(字段输入模板!A116,""))</f>
        <v/>
      </c>
      <c r="M117" s="9" t="str">
        <f>IF(字段输入模板!P116="","",IFERROR(字段输入模板!F116,""))</f>
        <v/>
      </c>
      <c r="N117" s="9" t="str">
        <f>IF(字段输入模板!P116="","",IFERROR(字段输入模板!G116,""))</f>
        <v/>
      </c>
      <c r="O117" s="12" t="str">
        <f>IF(字段输入模板!P116="","",IFERROR(字段输入模板!H116,""))</f>
        <v/>
      </c>
      <c r="P117" s="13" t="str">
        <f>IF(字段输入模板!P116="","",IFERROR(字段输入模板!R116,""))</f>
        <v/>
      </c>
    </row>
    <row r="118" spans="1:16">
      <c r="A118" s="12" t="str">
        <f>IF(字段输入模板!P117="","",IFERROR(字段输入模板!P117,""))</f>
        <v/>
      </c>
      <c r="B118" s="12" t="str">
        <f>IF(字段输入模板!P117="","",IF(字段输入模板!C117="",IFERROR(字段输入模板!B117,""),IFERROR(字段输入模板!C117,"")))</f>
        <v/>
      </c>
      <c r="C118" s="12" t="str">
        <f>IF(字段输入模板!P117="","",IFERROR(字段输入模板!I117,""))</f>
        <v/>
      </c>
      <c r="D118" s="9" t="str">
        <f>IF(字段输入模板!P117="","",IFERROR(字段输入模板!Q117,""))</f>
        <v/>
      </c>
      <c r="E118" s="9" t="str">
        <f>IF(字段输入模板!P117="","",IFERROR(字段输入模板!L117,""))</f>
        <v/>
      </c>
      <c r="F118" s="9" t="str">
        <f>IF(字段输入模板!P117="","",IFERROR(字段输入模板!J117,""))</f>
        <v/>
      </c>
      <c r="G118" s="9" t="str">
        <f>IF(字段输入模板!P117="","",IFERROR(字段输入模板!K117,""))</f>
        <v/>
      </c>
      <c r="H118" s="12" t="str">
        <f>IF(字段输入模板!P117="","",IFERROR(字段输入模板!M117,""))</f>
        <v/>
      </c>
      <c r="I118" s="12" t="str">
        <f>IF(字段输入模板!P117="","",IFERROR(字段输入模板!N117,""))</f>
        <v/>
      </c>
      <c r="J118" s="12" t="str">
        <f>IF(字段输入模板!P117="","",IFERROR(字段输入模板!E117,""))</f>
        <v/>
      </c>
      <c r="K118" s="12" t="str">
        <f>IF(字段输入模板!P117="","",IFERROR(字段输入模板!O117,""))</f>
        <v/>
      </c>
      <c r="L118" s="9" t="str">
        <f>IF(字段输入模板!P117="","",IFERROR(字段输入模板!A117,""))</f>
        <v/>
      </c>
      <c r="M118" s="9" t="str">
        <f>IF(字段输入模板!P117="","",IFERROR(字段输入模板!F117,""))</f>
        <v/>
      </c>
      <c r="N118" s="9" t="str">
        <f>IF(字段输入模板!P117="","",IFERROR(字段输入模板!G117,""))</f>
        <v/>
      </c>
      <c r="O118" s="12" t="str">
        <f>IF(字段输入模板!P117="","",IFERROR(字段输入模板!H117,""))</f>
        <v/>
      </c>
      <c r="P118" s="13" t="str">
        <f>IF(字段输入模板!P117="","",IFERROR(字段输入模板!R117,""))</f>
        <v/>
      </c>
    </row>
    <row r="119" spans="1:16">
      <c r="A119" s="12" t="str">
        <f>IF(字段输入模板!P118="","",IFERROR(字段输入模板!P118,""))</f>
        <v/>
      </c>
      <c r="B119" s="12" t="str">
        <f>IF(字段输入模板!P118="","",IF(字段输入模板!C118="",IFERROR(字段输入模板!B118,""),IFERROR(字段输入模板!C118,"")))</f>
        <v/>
      </c>
      <c r="C119" s="12" t="str">
        <f>IF(字段输入模板!P118="","",IFERROR(字段输入模板!I118,""))</f>
        <v/>
      </c>
      <c r="D119" s="9" t="str">
        <f>IF(字段输入模板!P118="","",IFERROR(字段输入模板!Q118,""))</f>
        <v/>
      </c>
      <c r="E119" s="9" t="str">
        <f>IF(字段输入模板!P118="","",IFERROR(字段输入模板!L118,""))</f>
        <v/>
      </c>
      <c r="F119" s="9" t="str">
        <f>IF(字段输入模板!P118="","",IFERROR(字段输入模板!J118,""))</f>
        <v/>
      </c>
      <c r="G119" s="9" t="str">
        <f>IF(字段输入模板!P118="","",IFERROR(字段输入模板!K118,""))</f>
        <v/>
      </c>
      <c r="H119" s="12" t="str">
        <f>IF(字段输入模板!P118="","",IFERROR(字段输入模板!M118,""))</f>
        <v/>
      </c>
      <c r="I119" s="12" t="str">
        <f>IF(字段输入模板!P118="","",IFERROR(字段输入模板!N118,""))</f>
        <v/>
      </c>
      <c r="J119" s="12" t="str">
        <f>IF(字段输入模板!P118="","",IFERROR(字段输入模板!E118,""))</f>
        <v/>
      </c>
      <c r="K119" s="12" t="str">
        <f>IF(字段输入模板!P118="","",IFERROR(字段输入模板!O118,""))</f>
        <v/>
      </c>
      <c r="L119" s="9" t="str">
        <f>IF(字段输入模板!P118="","",IFERROR(字段输入模板!A118,""))</f>
        <v/>
      </c>
      <c r="M119" s="9" t="str">
        <f>IF(字段输入模板!P118="","",IFERROR(字段输入模板!F118,""))</f>
        <v/>
      </c>
      <c r="N119" s="9" t="str">
        <f>IF(字段输入模板!P118="","",IFERROR(字段输入模板!G118,""))</f>
        <v/>
      </c>
      <c r="O119" s="12" t="str">
        <f>IF(字段输入模板!P118="","",IFERROR(字段输入模板!H118,""))</f>
        <v/>
      </c>
      <c r="P119" s="13" t="str">
        <f>IF(字段输入模板!P118="","",IFERROR(字段输入模板!R118,""))</f>
        <v/>
      </c>
    </row>
    <row r="120" spans="1:16">
      <c r="A120" s="12" t="str">
        <f>IF(字段输入模板!P119="","",IFERROR(字段输入模板!P119,""))</f>
        <v/>
      </c>
      <c r="B120" s="12" t="str">
        <f>IF(字段输入模板!P119="","",IF(字段输入模板!C119="",IFERROR(字段输入模板!B119,""),IFERROR(字段输入模板!C119,"")))</f>
        <v/>
      </c>
      <c r="C120" s="12" t="str">
        <f>IF(字段输入模板!P119="","",IFERROR(字段输入模板!I119,""))</f>
        <v/>
      </c>
      <c r="D120" s="9" t="str">
        <f>IF(字段输入模板!P119="","",IFERROR(字段输入模板!Q119,""))</f>
        <v/>
      </c>
      <c r="E120" s="9" t="str">
        <f>IF(字段输入模板!P119="","",IFERROR(字段输入模板!L119,""))</f>
        <v/>
      </c>
      <c r="F120" s="9" t="str">
        <f>IF(字段输入模板!P119="","",IFERROR(字段输入模板!J119,""))</f>
        <v/>
      </c>
      <c r="G120" s="9" t="str">
        <f>IF(字段输入模板!P119="","",IFERROR(字段输入模板!K119,""))</f>
        <v/>
      </c>
      <c r="H120" s="12" t="str">
        <f>IF(字段输入模板!P119="","",IFERROR(字段输入模板!M119,""))</f>
        <v/>
      </c>
      <c r="I120" s="12" t="str">
        <f>IF(字段输入模板!P119="","",IFERROR(字段输入模板!N119,""))</f>
        <v/>
      </c>
      <c r="J120" s="12" t="str">
        <f>IF(字段输入模板!P119="","",IFERROR(字段输入模板!E119,""))</f>
        <v/>
      </c>
      <c r="K120" s="12" t="str">
        <f>IF(字段输入模板!P119="","",IFERROR(字段输入模板!O119,""))</f>
        <v/>
      </c>
      <c r="L120" s="9" t="str">
        <f>IF(字段输入模板!P119="","",IFERROR(字段输入模板!A119,""))</f>
        <v/>
      </c>
      <c r="M120" s="9" t="str">
        <f>IF(字段输入模板!P119="","",IFERROR(字段输入模板!F119,""))</f>
        <v/>
      </c>
      <c r="N120" s="9" t="str">
        <f>IF(字段输入模板!P119="","",IFERROR(字段输入模板!G119,""))</f>
        <v/>
      </c>
      <c r="O120" s="12" t="str">
        <f>IF(字段输入模板!P119="","",IFERROR(字段输入模板!H119,""))</f>
        <v/>
      </c>
      <c r="P120" s="13" t="str">
        <f>IF(字段输入模板!P119="","",IFERROR(字段输入模板!R119,""))</f>
        <v/>
      </c>
    </row>
    <row r="121" spans="1:16">
      <c r="A121" s="12" t="str">
        <f>IF(字段输入模板!P120="","",IFERROR(字段输入模板!P120,""))</f>
        <v/>
      </c>
      <c r="B121" s="12" t="str">
        <f>IF(字段输入模板!P120="","",IF(字段输入模板!C120="",IFERROR(字段输入模板!B120,""),IFERROR(字段输入模板!C120,"")))</f>
        <v/>
      </c>
      <c r="C121" s="12" t="str">
        <f>IF(字段输入模板!P120="","",IFERROR(字段输入模板!I120,""))</f>
        <v/>
      </c>
      <c r="D121" s="9" t="str">
        <f>IF(字段输入模板!P120="","",IFERROR(字段输入模板!Q120,""))</f>
        <v/>
      </c>
      <c r="E121" s="9" t="str">
        <f>IF(字段输入模板!P120="","",IFERROR(字段输入模板!L120,""))</f>
        <v/>
      </c>
      <c r="F121" s="9" t="str">
        <f>IF(字段输入模板!P120="","",IFERROR(字段输入模板!J120,""))</f>
        <v/>
      </c>
      <c r="G121" s="9" t="str">
        <f>IF(字段输入模板!P120="","",IFERROR(字段输入模板!K120,""))</f>
        <v/>
      </c>
      <c r="H121" s="12" t="str">
        <f>IF(字段输入模板!P120="","",IFERROR(字段输入模板!M120,""))</f>
        <v/>
      </c>
      <c r="I121" s="12" t="str">
        <f>IF(字段输入模板!P120="","",IFERROR(字段输入模板!N120,""))</f>
        <v/>
      </c>
      <c r="J121" s="12" t="str">
        <f>IF(字段输入模板!P120="","",IFERROR(字段输入模板!E120,""))</f>
        <v/>
      </c>
      <c r="K121" s="12" t="str">
        <f>IF(字段输入模板!P120="","",IFERROR(字段输入模板!O120,""))</f>
        <v/>
      </c>
      <c r="L121" s="9" t="str">
        <f>IF(字段输入模板!P120="","",IFERROR(字段输入模板!A120,""))</f>
        <v/>
      </c>
      <c r="M121" s="9" t="str">
        <f>IF(字段输入模板!P120="","",IFERROR(字段输入模板!F120,""))</f>
        <v/>
      </c>
      <c r="N121" s="9" t="str">
        <f>IF(字段输入模板!P120="","",IFERROR(字段输入模板!G120,""))</f>
        <v/>
      </c>
      <c r="O121" s="12" t="str">
        <f>IF(字段输入模板!P120="","",IFERROR(字段输入模板!H120,""))</f>
        <v/>
      </c>
      <c r="P121" s="13" t="str">
        <f>IF(字段输入模板!P120="","",IFERROR(字段输入模板!R120,""))</f>
        <v/>
      </c>
    </row>
    <row r="122" spans="1:16">
      <c r="A122" s="12" t="str">
        <f>IF(字段输入模板!P121="","",IFERROR(字段输入模板!P121,""))</f>
        <v/>
      </c>
      <c r="B122" s="12" t="str">
        <f>IF(字段输入模板!P121="","",IF(字段输入模板!C121="",IFERROR(字段输入模板!B121,""),IFERROR(字段输入模板!C121,"")))</f>
        <v/>
      </c>
      <c r="C122" s="12" t="str">
        <f>IF(字段输入模板!P121="","",IFERROR(字段输入模板!I121,""))</f>
        <v/>
      </c>
      <c r="D122" s="9" t="str">
        <f>IF(字段输入模板!P121="","",IFERROR(字段输入模板!Q121,""))</f>
        <v/>
      </c>
      <c r="E122" s="9" t="str">
        <f>IF(字段输入模板!P121="","",IFERROR(字段输入模板!L121,""))</f>
        <v/>
      </c>
      <c r="F122" s="9" t="str">
        <f>IF(字段输入模板!P121="","",IFERROR(字段输入模板!J121,""))</f>
        <v/>
      </c>
      <c r="G122" s="9" t="str">
        <f>IF(字段输入模板!P121="","",IFERROR(字段输入模板!K121,""))</f>
        <v/>
      </c>
      <c r="H122" s="12" t="str">
        <f>IF(字段输入模板!P121="","",IFERROR(字段输入模板!M121,""))</f>
        <v/>
      </c>
      <c r="I122" s="12" t="str">
        <f>IF(字段输入模板!P121="","",IFERROR(字段输入模板!N121,""))</f>
        <v/>
      </c>
      <c r="J122" s="12" t="str">
        <f>IF(字段输入模板!P121="","",IFERROR(字段输入模板!E121,""))</f>
        <v/>
      </c>
      <c r="K122" s="12" t="str">
        <f>IF(字段输入模板!P121="","",IFERROR(字段输入模板!O121,""))</f>
        <v/>
      </c>
      <c r="L122" s="9" t="str">
        <f>IF(字段输入模板!P121="","",IFERROR(字段输入模板!A121,""))</f>
        <v/>
      </c>
      <c r="M122" s="9" t="str">
        <f>IF(字段输入模板!P121="","",IFERROR(字段输入模板!F121,""))</f>
        <v/>
      </c>
      <c r="N122" s="9" t="str">
        <f>IF(字段输入模板!P121="","",IFERROR(字段输入模板!G121,""))</f>
        <v/>
      </c>
      <c r="O122" s="12" t="str">
        <f>IF(字段输入模板!P121="","",IFERROR(字段输入模板!H121,""))</f>
        <v/>
      </c>
      <c r="P122" s="13" t="str">
        <f>IF(字段输入模板!P121="","",IFERROR(字段输入模板!R121,""))</f>
        <v/>
      </c>
    </row>
    <row r="123" spans="1:16">
      <c r="A123" s="12" t="str">
        <f>IF(字段输入模板!P122="","",IFERROR(字段输入模板!P122,""))</f>
        <v/>
      </c>
      <c r="B123" s="12" t="str">
        <f>IF(字段输入模板!P122="","",IF(字段输入模板!C122="",IFERROR(字段输入模板!B122,""),IFERROR(字段输入模板!C122,"")))</f>
        <v/>
      </c>
      <c r="C123" s="12" t="str">
        <f>IF(字段输入模板!P122="","",IFERROR(字段输入模板!I122,""))</f>
        <v/>
      </c>
      <c r="D123" s="9" t="str">
        <f>IF(字段输入模板!P122="","",IFERROR(字段输入模板!Q122,""))</f>
        <v/>
      </c>
      <c r="E123" s="9" t="str">
        <f>IF(字段输入模板!P122="","",IFERROR(字段输入模板!L122,""))</f>
        <v/>
      </c>
      <c r="F123" s="9" t="str">
        <f>IF(字段输入模板!P122="","",IFERROR(字段输入模板!J122,""))</f>
        <v/>
      </c>
      <c r="G123" s="9" t="str">
        <f>IF(字段输入模板!P122="","",IFERROR(字段输入模板!K122,""))</f>
        <v/>
      </c>
      <c r="H123" s="12" t="str">
        <f>IF(字段输入模板!P122="","",IFERROR(字段输入模板!M122,""))</f>
        <v/>
      </c>
      <c r="I123" s="12" t="str">
        <f>IF(字段输入模板!P122="","",IFERROR(字段输入模板!N122,""))</f>
        <v/>
      </c>
      <c r="J123" s="12" t="str">
        <f>IF(字段输入模板!P122="","",IFERROR(字段输入模板!E122,""))</f>
        <v/>
      </c>
      <c r="K123" s="12" t="str">
        <f>IF(字段输入模板!P122="","",IFERROR(字段输入模板!O122,""))</f>
        <v/>
      </c>
      <c r="L123" s="9" t="str">
        <f>IF(字段输入模板!P122="","",IFERROR(字段输入模板!A122,""))</f>
        <v/>
      </c>
      <c r="M123" s="9" t="str">
        <f>IF(字段输入模板!P122="","",IFERROR(字段输入模板!F122,""))</f>
        <v/>
      </c>
      <c r="N123" s="9" t="str">
        <f>IF(字段输入模板!P122="","",IFERROR(字段输入模板!G122,""))</f>
        <v/>
      </c>
      <c r="O123" s="12" t="str">
        <f>IF(字段输入模板!P122="","",IFERROR(字段输入模板!H122,""))</f>
        <v/>
      </c>
      <c r="P123" s="13" t="str">
        <f>IF(字段输入模板!P122="","",IFERROR(字段输入模板!R122,""))</f>
        <v/>
      </c>
    </row>
    <row r="124" spans="1:16">
      <c r="A124" s="12" t="str">
        <f>IF(字段输入模板!P123="","",IFERROR(字段输入模板!P123,""))</f>
        <v/>
      </c>
      <c r="B124" s="12" t="str">
        <f>IF(字段输入模板!P123="","",IF(字段输入模板!C123="",IFERROR(字段输入模板!B123,""),IFERROR(字段输入模板!C123,"")))</f>
        <v/>
      </c>
      <c r="C124" s="12" t="str">
        <f>IF(字段输入模板!P123="","",IFERROR(字段输入模板!I123,""))</f>
        <v/>
      </c>
      <c r="D124" s="9" t="str">
        <f>IF(字段输入模板!P123="","",IFERROR(字段输入模板!Q123,""))</f>
        <v/>
      </c>
      <c r="E124" s="9" t="str">
        <f>IF(字段输入模板!P123="","",IFERROR(字段输入模板!L123,""))</f>
        <v/>
      </c>
      <c r="F124" s="9" t="str">
        <f>IF(字段输入模板!P123="","",IFERROR(字段输入模板!J123,""))</f>
        <v/>
      </c>
      <c r="G124" s="9" t="str">
        <f>IF(字段输入模板!P123="","",IFERROR(字段输入模板!K123,""))</f>
        <v/>
      </c>
      <c r="H124" s="12" t="str">
        <f>IF(字段输入模板!P123="","",IFERROR(字段输入模板!M123,""))</f>
        <v/>
      </c>
      <c r="I124" s="12" t="str">
        <f>IF(字段输入模板!P123="","",IFERROR(字段输入模板!N123,""))</f>
        <v/>
      </c>
      <c r="J124" s="12" t="str">
        <f>IF(字段输入模板!P123="","",IFERROR(字段输入模板!E123,""))</f>
        <v/>
      </c>
      <c r="K124" s="12" t="str">
        <f>IF(字段输入模板!P123="","",IFERROR(字段输入模板!O123,""))</f>
        <v/>
      </c>
      <c r="L124" s="9" t="str">
        <f>IF(字段输入模板!P123="","",IFERROR(字段输入模板!A123,""))</f>
        <v/>
      </c>
      <c r="M124" s="9" t="str">
        <f>IF(字段输入模板!P123="","",IFERROR(字段输入模板!F123,""))</f>
        <v/>
      </c>
      <c r="N124" s="9" t="str">
        <f>IF(字段输入模板!P123="","",IFERROR(字段输入模板!G123,""))</f>
        <v/>
      </c>
      <c r="O124" s="12" t="str">
        <f>IF(字段输入模板!P123="","",IFERROR(字段输入模板!H123,""))</f>
        <v/>
      </c>
      <c r="P124" s="13" t="str">
        <f>IF(字段输入模板!P123="","",IFERROR(字段输入模板!R123,""))</f>
        <v/>
      </c>
    </row>
    <row r="125" spans="1:16">
      <c r="A125" s="12" t="str">
        <f>IF(字段输入模板!P124="","",IFERROR(字段输入模板!P124,""))</f>
        <v/>
      </c>
      <c r="B125" s="12" t="str">
        <f>IF(字段输入模板!P124="","",IF(字段输入模板!C124="",IFERROR(字段输入模板!B124,""),IFERROR(字段输入模板!C124,"")))</f>
        <v/>
      </c>
      <c r="C125" s="12" t="str">
        <f>IF(字段输入模板!P124="","",IFERROR(字段输入模板!I124,""))</f>
        <v/>
      </c>
      <c r="D125" s="9" t="str">
        <f>IF(字段输入模板!P124="","",IFERROR(字段输入模板!Q124,""))</f>
        <v/>
      </c>
      <c r="E125" s="9" t="str">
        <f>IF(字段输入模板!P124="","",IFERROR(字段输入模板!L124,""))</f>
        <v/>
      </c>
      <c r="F125" s="9" t="str">
        <f>IF(字段输入模板!P124="","",IFERROR(字段输入模板!J124,""))</f>
        <v/>
      </c>
      <c r="G125" s="9" t="str">
        <f>IF(字段输入模板!P124="","",IFERROR(字段输入模板!K124,""))</f>
        <v/>
      </c>
      <c r="H125" s="12" t="str">
        <f>IF(字段输入模板!P124="","",IFERROR(字段输入模板!M124,""))</f>
        <v/>
      </c>
      <c r="I125" s="12" t="str">
        <f>IF(字段输入模板!P124="","",IFERROR(字段输入模板!N124,""))</f>
        <v/>
      </c>
      <c r="J125" s="12" t="str">
        <f>IF(字段输入模板!P124="","",IFERROR(字段输入模板!E124,""))</f>
        <v/>
      </c>
      <c r="K125" s="12" t="str">
        <f>IF(字段输入模板!P124="","",IFERROR(字段输入模板!O124,""))</f>
        <v/>
      </c>
      <c r="L125" s="9" t="str">
        <f>IF(字段输入模板!P124="","",IFERROR(字段输入模板!A124,""))</f>
        <v/>
      </c>
      <c r="M125" s="9" t="str">
        <f>IF(字段输入模板!P124="","",IFERROR(字段输入模板!F124,""))</f>
        <v/>
      </c>
      <c r="N125" s="9" t="str">
        <f>IF(字段输入模板!P124="","",IFERROR(字段输入模板!G124,""))</f>
        <v/>
      </c>
      <c r="O125" s="12" t="str">
        <f>IF(字段输入模板!P124="","",IFERROR(字段输入模板!H124,""))</f>
        <v/>
      </c>
      <c r="P125" s="13" t="str">
        <f>IF(字段输入模板!P124="","",IFERROR(字段输入模板!R124,""))</f>
        <v/>
      </c>
    </row>
    <row r="126" spans="1:16">
      <c r="A126" s="12" t="str">
        <f>IF(字段输入模板!P125="","",IFERROR(字段输入模板!P125,""))</f>
        <v/>
      </c>
      <c r="B126" s="12" t="str">
        <f>IF(字段输入模板!P125="","",IF(字段输入模板!C125="",IFERROR(字段输入模板!B125,""),IFERROR(字段输入模板!C125,"")))</f>
        <v/>
      </c>
      <c r="C126" s="12" t="str">
        <f>IF(字段输入模板!P125="","",IFERROR(字段输入模板!I125,""))</f>
        <v/>
      </c>
      <c r="D126" s="9" t="str">
        <f>IF(字段输入模板!P125="","",IFERROR(字段输入模板!Q125,""))</f>
        <v/>
      </c>
      <c r="E126" s="9" t="str">
        <f>IF(字段输入模板!P125="","",IFERROR(字段输入模板!L125,""))</f>
        <v/>
      </c>
      <c r="F126" s="9" t="str">
        <f>IF(字段输入模板!P125="","",IFERROR(字段输入模板!J125,""))</f>
        <v/>
      </c>
      <c r="G126" s="9" t="str">
        <f>IF(字段输入模板!P125="","",IFERROR(字段输入模板!K125,""))</f>
        <v/>
      </c>
      <c r="H126" s="12" t="str">
        <f>IF(字段输入模板!P125="","",IFERROR(字段输入模板!M125,""))</f>
        <v/>
      </c>
      <c r="I126" s="12" t="str">
        <f>IF(字段输入模板!P125="","",IFERROR(字段输入模板!N125,""))</f>
        <v/>
      </c>
      <c r="J126" s="12" t="str">
        <f>IF(字段输入模板!P125="","",IFERROR(字段输入模板!E125,""))</f>
        <v/>
      </c>
      <c r="K126" s="12" t="str">
        <f>IF(字段输入模板!P125="","",IFERROR(字段输入模板!O125,""))</f>
        <v/>
      </c>
      <c r="L126" s="9" t="str">
        <f>IF(字段输入模板!P125="","",IFERROR(字段输入模板!A125,""))</f>
        <v/>
      </c>
      <c r="M126" s="9" t="str">
        <f>IF(字段输入模板!P125="","",IFERROR(字段输入模板!F125,""))</f>
        <v/>
      </c>
      <c r="N126" s="9" t="str">
        <f>IF(字段输入模板!P125="","",IFERROR(字段输入模板!G125,""))</f>
        <v/>
      </c>
      <c r="O126" s="12" t="str">
        <f>IF(字段输入模板!P125="","",IFERROR(字段输入模板!H125,""))</f>
        <v/>
      </c>
      <c r="P126" s="13" t="str">
        <f>IF(字段输入模板!P125="","",IFERROR(字段输入模板!R125,""))</f>
        <v/>
      </c>
    </row>
    <row r="127" spans="1:16">
      <c r="A127" s="12" t="str">
        <f>IF(字段输入模板!P126="","",IFERROR(字段输入模板!P126,""))</f>
        <v/>
      </c>
      <c r="B127" s="12" t="str">
        <f>IF(字段输入模板!P126="","",IF(字段输入模板!C126="",IFERROR(字段输入模板!B126,""),IFERROR(字段输入模板!C126,"")))</f>
        <v/>
      </c>
      <c r="C127" s="12" t="str">
        <f>IF(字段输入模板!P126="","",IFERROR(字段输入模板!I126,""))</f>
        <v/>
      </c>
      <c r="D127" s="9" t="str">
        <f>IF(字段输入模板!P126="","",IFERROR(字段输入模板!Q126,""))</f>
        <v/>
      </c>
      <c r="E127" s="9" t="str">
        <f>IF(字段输入模板!P126="","",IFERROR(字段输入模板!L126,""))</f>
        <v/>
      </c>
      <c r="F127" s="9" t="str">
        <f>IF(字段输入模板!P126="","",IFERROR(字段输入模板!J126,""))</f>
        <v/>
      </c>
      <c r="G127" s="9" t="str">
        <f>IF(字段输入模板!P126="","",IFERROR(字段输入模板!K126,""))</f>
        <v/>
      </c>
      <c r="H127" s="12" t="str">
        <f>IF(字段输入模板!P126="","",IFERROR(字段输入模板!M126,""))</f>
        <v/>
      </c>
      <c r="I127" s="12" t="str">
        <f>IF(字段输入模板!P126="","",IFERROR(字段输入模板!N126,""))</f>
        <v/>
      </c>
      <c r="J127" s="12" t="str">
        <f>IF(字段输入模板!P126="","",IFERROR(字段输入模板!E126,""))</f>
        <v/>
      </c>
      <c r="K127" s="12" t="str">
        <f>IF(字段输入模板!P126="","",IFERROR(字段输入模板!O126,""))</f>
        <v/>
      </c>
      <c r="L127" s="9" t="str">
        <f>IF(字段输入模板!P126="","",IFERROR(字段输入模板!A126,""))</f>
        <v/>
      </c>
      <c r="M127" s="9" t="str">
        <f>IF(字段输入模板!P126="","",IFERROR(字段输入模板!F126,""))</f>
        <v/>
      </c>
      <c r="N127" s="9" t="str">
        <f>IF(字段输入模板!P126="","",IFERROR(字段输入模板!G126,""))</f>
        <v/>
      </c>
      <c r="O127" s="12" t="str">
        <f>IF(字段输入模板!P126="","",IFERROR(字段输入模板!H126,""))</f>
        <v/>
      </c>
      <c r="P127" s="13" t="str">
        <f>IF(字段输入模板!P126="","",IFERROR(字段输入模板!R126,""))</f>
        <v/>
      </c>
    </row>
    <row r="128" spans="1:16">
      <c r="A128" s="12" t="str">
        <f>IF(字段输入模板!P127="","",IFERROR(字段输入模板!P127,""))</f>
        <v/>
      </c>
      <c r="B128" s="12" t="str">
        <f>IF(字段输入模板!P127="","",IF(字段输入模板!C127="",IFERROR(字段输入模板!B127,""),IFERROR(字段输入模板!C127,"")))</f>
        <v/>
      </c>
      <c r="C128" s="12" t="str">
        <f>IF(字段输入模板!P127="","",IFERROR(字段输入模板!I127,""))</f>
        <v/>
      </c>
      <c r="D128" s="9" t="str">
        <f>IF(字段输入模板!P127="","",IFERROR(字段输入模板!Q127,""))</f>
        <v/>
      </c>
      <c r="E128" s="9" t="str">
        <f>IF(字段输入模板!P127="","",IFERROR(字段输入模板!L127,""))</f>
        <v/>
      </c>
      <c r="F128" s="9" t="str">
        <f>IF(字段输入模板!P127="","",IFERROR(字段输入模板!J127,""))</f>
        <v/>
      </c>
      <c r="G128" s="9" t="str">
        <f>IF(字段输入模板!P127="","",IFERROR(字段输入模板!K127,""))</f>
        <v/>
      </c>
      <c r="H128" s="12" t="str">
        <f>IF(字段输入模板!P127="","",IFERROR(字段输入模板!M127,""))</f>
        <v/>
      </c>
      <c r="I128" s="12" t="str">
        <f>IF(字段输入模板!P127="","",IFERROR(字段输入模板!N127,""))</f>
        <v/>
      </c>
      <c r="J128" s="12" t="str">
        <f>IF(字段输入模板!P127="","",IFERROR(字段输入模板!E127,""))</f>
        <v/>
      </c>
      <c r="K128" s="12" t="str">
        <f>IF(字段输入模板!P127="","",IFERROR(字段输入模板!O127,""))</f>
        <v/>
      </c>
      <c r="L128" s="9" t="str">
        <f>IF(字段输入模板!P127="","",IFERROR(字段输入模板!A127,""))</f>
        <v/>
      </c>
      <c r="M128" s="9" t="str">
        <f>IF(字段输入模板!P127="","",IFERROR(字段输入模板!F127,""))</f>
        <v/>
      </c>
      <c r="N128" s="9" t="str">
        <f>IF(字段输入模板!P127="","",IFERROR(字段输入模板!G127,""))</f>
        <v/>
      </c>
      <c r="O128" s="12" t="str">
        <f>IF(字段输入模板!P127="","",IFERROR(字段输入模板!H127,""))</f>
        <v/>
      </c>
      <c r="P128" s="13" t="str">
        <f>IF(字段输入模板!P127="","",IFERROR(字段输入模板!R127,""))</f>
        <v/>
      </c>
    </row>
    <row r="129" spans="1:16">
      <c r="A129" s="12" t="str">
        <f>IF(字段输入模板!P128="","",IFERROR(字段输入模板!P128,""))</f>
        <v/>
      </c>
      <c r="B129" s="12" t="str">
        <f>IF(字段输入模板!P128="","",IF(字段输入模板!C128="",IFERROR(字段输入模板!B128,""),IFERROR(字段输入模板!C128,"")))</f>
        <v/>
      </c>
      <c r="C129" s="12" t="str">
        <f>IF(字段输入模板!P128="","",IFERROR(字段输入模板!I128,""))</f>
        <v/>
      </c>
      <c r="D129" s="9" t="str">
        <f>IF(字段输入模板!P128="","",IFERROR(字段输入模板!Q128,""))</f>
        <v/>
      </c>
      <c r="E129" s="9" t="str">
        <f>IF(字段输入模板!P128="","",IFERROR(字段输入模板!L128,""))</f>
        <v/>
      </c>
      <c r="F129" s="9" t="str">
        <f>IF(字段输入模板!P128="","",IFERROR(字段输入模板!J128,""))</f>
        <v/>
      </c>
      <c r="G129" s="9" t="str">
        <f>IF(字段输入模板!P128="","",IFERROR(字段输入模板!K128,""))</f>
        <v/>
      </c>
      <c r="H129" s="12" t="str">
        <f>IF(字段输入模板!P128="","",IFERROR(字段输入模板!M128,""))</f>
        <v/>
      </c>
      <c r="I129" s="12" t="str">
        <f>IF(字段输入模板!P128="","",IFERROR(字段输入模板!N128,""))</f>
        <v/>
      </c>
      <c r="J129" s="12" t="str">
        <f>IF(字段输入模板!P128="","",IFERROR(字段输入模板!E128,""))</f>
        <v/>
      </c>
      <c r="K129" s="12" t="str">
        <f>IF(字段输入模板!P128="","",IFERROR(字段输入模板!O128,""))</f>
        <v/>
      </c>
      <c r="L129" s="9" t="str">
        <f>IF(字段输入模板!P128="","",IFERROR(字段输入模板!A128,""))</f>
        <v/>
      </c>
      <c r="M129" s="9" t="str">
        <f>IF(字段输入模板!P128="","",IFERROR(字段输入模板!F128,""))</f>
        <v/>
      </c>
      <c r="N129" s="9" t="str">
        <f>IF(字段输入模板!P128="","",IFERROR(字段输入模板!G128,""))</f>
        <v/>
      </c>
      <c r="O129" s="12" t="str">
        <f>IF(字段输入模板!P128="","",IFERROR(字段输入模板!H128,""))</f>
        <v/>
      </c>
      <c r="P129" s="13" t="str">
        <f>IF(字段输入模板!P128="","",IFERROR(字段输入模板!R128,""))</f>
        <v/>
      </c>
    </row>
    <row r="130" spans="1:16">
      <c r="A130" s="12" t="str">
        <f>IF(字段输入模板!P129="","",IFERROR(字段输入模板!P129,""))</f>
        <v/>
      </c>
      <c r="B130" s="12" t="str">
        <f>IF(字段输入模板!P129="","",IF(字段输入模板!C129="",IFERROR(字段输入模板!B129,""),IFERROR(字段输入模板!C129,"")))</f>
        <v/>
      </c>
      <c r="C130" s="12" t="str">
        <f>IF(字段输入模板!P129="","",IFERROR(字段输入模板!I129,""))</f>
        <v/>
      </c>
      <c r="D130" s="9" t="str">
        <f>IF(字段输入模板!P129="","",IFERROR(字段输入模板!Q129,""))</f>
        <v/>
      </c>
      <c r="E130" s="9" t="str">
        <f>IF(字段输入模板!P129="","",IFERROR(字段输入模板!L129,""))</f>
        <v/>
      </c>
      <c r="F130" s="9" t="str">
        <f>IF(字段输入模板!P129="","",IFERROR(字段输入模板!J129,""))</f>
        <v/>
      </c>
      <c r="G130" s="9" t="str">
        <f>IF(字段输入模板!P129="","",IFERROR(字段输入模板!K129,""))</f>
        <v/>
      </c>
      <c r="H130" s="12" t="str">
        <f>IF(字段输入模板!P129="","",IFERROR(字段输入模板!M129,""))</f>
        <v/>
      </c>
      <c r="I130" s="12" t="str">
        <f>IF(字段输入模板!P129="","",IFERROR(字段输入模板!N129,""))</f>
        <v/>
      </c>
      <c r="J130" s="12" t="str">
        <f>IF(字段输入模板!P129="","",IFERROR(字段输入模板!E129,""))</f>
        <v/>
      </c>
      <c r="K130" s="12" t="str">
        <f>IF(字段输入模板!P129="","",IFERROR(字段输入模板!O129,""))</f>
        <v/>
      </c>
      <c r="L130" s="9" t="str">
        <f>IF(字段输入模板!P129="","",IFERROR(字段输入模板!A129,""))</f>
        <v/>
      </c>
      <c r="M130" s="9" t="str">
        <f>IF(字段输入模板!P129="","",IFERROR(字段输入模板!F129,""))</f>
        <v/>
      </c>
      <c r="N130" s="9" t="str">
        <f>IF(字段输入模板!P129="","",IFERROR(字段输入模板!G129,""))</f>
        <v/>
      </c>
      <c r="O130" s="12" t="str">
        <f>IF(字段输入模板!P129="","",IFERROR(字段输入模板!H129,""))</f>
        <v/>
      </c>
      <c r="P130" s="13" t="str">
        <f>IF(字段输入模板!P129="","",IFERROR(字段输入模板!R129,""))</f>
        <v/>
      </c>
    </row>
    <row r="131" spans="1:16">
      <c r="A131" s="12" t="str">
        <f>IF(字段输入模板!P130="","",IFERROR(字段输入模板!P130,""))</f>
        <v/>
      </c>
      <c r="B131" s="12" t="str">
        <f>IF(字段输入模板!P130="","",IF(字段输入模板!C130="",IFERROR(字段输入模板!B130,""),IFERROR(字段输入模板!C130,"")))</f>
        <v/>
      </c>
      <c r="C131" s="12" t="str">
        <f>IF(字段输入模板!P130="","",IFERROR(字段输入模板!I130,""))</f>
        <v/>
      </c>
      <c r="D131" s="9" t="str">
        <f>IF(字段输入模板!P130="","",IFERROR(字段输入模板!Q130,""))</f>
        <v/>
      </c>
      <c r="E131" s="9" t="str">
        <f>IF(字段输入模板!P130="","",IFERROR(字段输入模板!L130,""))</f>
        <v/>
      </c>
      <c r="F131" s="9" t="str">
        <f>IF(字段输入模板!P130="","",IFERROR(字段输入模板!J130,""))</f>
        <v/>
      </c>
      <c r="G131" s="9" t="str">
        <f>IF(字段输入模板!P130="","",IFERROR(字段输入模板!K130,""))</f>
        <v/>
      </c>
      <c r="H131" s="12" t="str">
        <f>IF(字段输入模板!P130="","",IFERROR(字段输入模板!M130,""))</f>
        <v/>
      </c>
      <c r="I131" s="12" t="str">
        <f>IF(字段输入模板!P130="","",IFERROR(字段输入模板!N130,""))</f>
        <v/>
      </c>
      <c r="J131" s="12" t="str">
        <f>IF(字段输入模板!P130="","",IFERROR(字段输入模板!E130,""))</f>
        <v/>
      </c>
      <c r="K131" s="12" t="str">
        <f>IF(字段输入模板!P130="","",IFERROR(字段输入模板!O130,""))</f>
        <v/>
      </c>
      <c r="L131" s="9" t="str">
        <f>IF(字段输入模板!P130="","",IFERROR(字段输入模板!A130,""))</f>
        <v/>
      </c>
      <c r="M131" s="9" t="str">
        <f>IF(字段输入模板!P130="","",IFERROR(字段输入模板!F130,""))</f>
        <v/>
      </c>
      <c r="N131" s="9" t="str">
        <f>IF(字段输入模板!P130="","",IFERROR(字段输入模板!G130,""))</f>
        <v/>
      </c>
      <c r="O131" s="12" t="str">
        <f>IF(字段输入模板!P130="","",IFERROR(字段输入模板!H130,""))</f>
        <v/>
      </c>
      <c r="P131" s="13" t="str">
        <f>IF(字段输入模板!P130="","",IFERROR(字段输入模板!R130,""))</f>
        <v/>
      </c>
    </row>
    <row r="132" spans="1:16">
      <c r="A132" s="12" t="str">
        <f>IF(字段输入模板!P131="","",IFERROR(字段输入模板!P131,""))</f>
        <v/>
      </c>
      <c r="B132" s="12" t="str">
        <f>IF(字段输入模板!P131="","",IF(字段输入模板!C131="",IFERROR(字段输入模板!B131,""),IFERROR(字段输入模板!C131,"")))</f>
        <v/>
      </c>
      <c r="C132" s="12" t="str">
        <f>IF(字段输入模板!P131="","",IFERROR(字段输入模板!I131,""))</f>
        <v/>
      </c>
      <c r="D132" s="9" t="str">
        <f>IF(字段输入模板!P131="","",IFERROR(字段输入模板!Q131,""))</f>
        <v/>
      </c>
      <c r="E132" s="9" t="str">
        <f>IF(字段输入模板!P131="","",IFERROR(字段输入模板!L131,""))</f>
        <v/>
      </c>
      <c r="F132" s="9" t="str">
        <f>IF(字段输入模板!P131="","",IFERROR(字段输入模板!J131,""))</f>
        <v/>
      </c>
      <c r="G132" s="9" t="str">
        <f>IF(字段输入模板!P131="","",IFERROR(字段输入模板!K131,""))</f>
        <v/>
      </c>
      <c r="H132" s="12" t="str">
        <f>IF(字段输入模板!P131="","",IFERROR(字段输入模板!M131,""))</f>
        <v/>
      </c>
      <c r="I132" s="12" t="str">
        <f>IF(字段输入模板!P131="","",IFERROR(字段输入模板!N131,""))</f>
        <v/>
      </c>
      <c r="J132" s="12" t="str">
        <f>IF(字段输入模板!P131="","",IFERROR(字段输入模板!E131,""))</f>
        <v/>
      </c>
      <c r="K132" s="12" t="str">
        <f>IF(字段输入模板!P131="","",IFERROR(字段输入模板!O131,""))</f>
        <v/>
      </c>
      <c r="L132" s="9" t="str">
        <f>IF(字段输入模板!P131="","",IFERROR(字段输入模板!A131,""))</f>
        <v/>
      </c>
      <c r="M132" s="9" t="str">
        <f>IF(字段输入模板!P131="","",IFERROR(字段输入模板!F131,""))</f>
        <v/>
      </c>
      <c r="N132" s="9" t="str">
        <f>IF(字段输入模板!P131="","",IFERROR(字段输入模板!G131,""))</f>
        <v/>
      </c>
      <c r="O132" s="12" t="str">
        <f>IF(字段输入模板!P131="","",IFERROR(字段输入模板!H131,""))</f>
        <v/>
      </c>
      <c r="P132" s="13" t="str">
        <f>IF(字段输入模板!P131="","",IFERROR(字段输入模板!R131,""))</f>
        <v/>
      </c>
    </row>
    <row r="133" spans="1:16">
      <c r="A133" s="12" t="str">
        <f>IF(字段输入模板!P132="","",IFERROR(字段输入模板!P132,""))</f>
        <v/>
      </c>
      <c r="B133" s="12" t="str">
        <f>IF(字段输入模板!P132="","",IF(字段输入模板!C132="",IFERROR(字段输入模板!B132,""),IFERROR(字段输入模板!C132,"")))</f>
        <v/>
      </c>
      <c r="C133" s="12" t="str">
        <f>IF(字段输入模板!P132="","",IFERROR(字段输入模板!I132,""))</f>
        <v/>
      </c>
      <c r="D133" s="9" t="str">
        <f>IF(字段输入模板!P132="","",IFERROR(字段输入模板!Q132,""))</f>
        <v/>
      </c>
      <c r="E133" s="9" t="str">
        <f>IF(字段输入模板!P132="","",IFERROR(字段输入模板!L132,""))</f>
        <v/>
      </c>
      <c r="F133" s="9" t="str">
        <f>IF(字段输入模板!P132="","",IFERROR(字段输入模板!J132,""))</f>
        <v/>
      </c>
      <c r="G133" s="9" t="str">
        <f>IF(字段输入模板!P132="","",IFERROR(字段输入模板!K132,""))</f>
        <v/>
      </c>
      <c r="H133" s="12" t="str">
        <f>IF(字段输入模板!P132="","",IFERROR(字段输入模板!M132,""))</f>
        <v/>
      </c>
      <c r="I133" s="12" t="str">
        <f>IF(字段输入模板!P132="","",IFERROR(字段输入模板!N132,""))</f>
        <v/>
      </c>
      <c r="J133" s="12" t="str">
        <f>IF(字段输入模板!P132="","",IFERROR(字段输入模板!E132,""))</f>
        <v/>
      </c>
      <c r="K133" s="12" t="str">
        <f>IF(字段输入模板!P132="","",IFERROR(字段输入模板!O132,""))</f>
        <v/>
      </c>
      <c r="L133" s="9" t="str">
        <f>IF(字段输入模板!P132="","",IFERROR(字段输入模板!A132,""))</f>
        <v/>
      </c>
      <c r="M133" s="9" t="str">
        <f>IF(字段输入模板!P132="","",IFERROR(字段输入模板!F132,""))</f>
        <v/>
      </c>
      <c r="N133" s="9" t="str">
        <f>IF(字段输入模板!P132="","",IFERROR(字段输入模板!G132,""))</f>
        <v/>
      </c>
      <c r="O133" s="12" t="str">
        <f>IF(字段输入模板!P132="","",IFERROR(字段输入模板!H132,""))</f>
        <v/>
      </c>
      <c r="P133" s="13" t="str">
        <f>IF(字段输入模板!P132="","",IFERROR(字段输入模板!R132,""))</f>
        <v/>
      </c>
    </row>
    <row r="134" spans="1:16">
      <c r="A134" s="12" t="str">
        <f>IF(字段输入模板!P133="","",IFERROR(字段输入模板!P133,""))</f>
        <v/>
      </c>
      <c r="B134" s="12" t="str">
        <f>IF(字段输入模板!P133="","",IF(字段输入模板!C133="",IFERROR(字段输入模板!B133,""),IFERROR(字段输入模板!C133,"")))</f>
        <v/>
      </c>
      <c r="C134" s="12" t="str">
        <f>IF(字段输入模板!P133="","",IFERROR(字段输入模板!I133,""))</f>
        <v/>
      </c>
      <c r="D134" s="9" t="str">
        <f>IF(字段输入模板!P133="","",IFERROR(字段输入模板!Q133,""))</f>
        <v/>
      </c>
      <c r="E134" s="9" t="str">
        <f>IF(字段输入模板!P133="","",IFERROR(字段输入模板!L133,""))</f>
        <v/>
      </c>
      <c r="F134" s="9" t="str">
        <f>IF(字段输入模板!P133="","",IFERROR(字段输入模板!J133,""))</f>
        <v/>
      </c>
      <c r="G134" s="9" t="str">
        <f>IF(字段输入模板!P133="","",IFERROR(字段输入模板!K133,""))</f>
        <v/>
      </c>
      <c r="H134" s="12" t="str">
        <f>IF(字段输入模板!P133="","",IFERROR(字段输入模板!M133,""))</f>
        <v/>
      </c>
      <c r="I134" s="12" t="str">
        <f>IF(字段输入模板!P133="","",IFERROR(字段输入模板!N133,""))</f>
        <v/>
      </c>
      <c r="J134" s="12" t="str">
        <f>IF(字段输入模板!P133="","",IFERROR(字段输入模板!E133,""))</f>
        <v/>
      </c>
      <c r="K134" s="12" t="str">
        <f>IF(字段输入模板!P133="","",IFERROR(字段输入模板!O133,""))</f>
        <v/>
      </c>
      <c r="L134" s="9" t="str">
        <f>IF(字段输入模板!P133="","",IFERROR(字段输入模板!A133,""))</f>
        <v/>
      </c>
      <c r="M134" s="9" t="str">
        <f>IF(字段输入模板!P133="","",IFERROR(字段输入模板!F133,""))</f>
        <v/>
      </c>
      <c r="N134" s="9" t="str">
        <f>IF(字段输入模板!P133="","",IFERROR(字段输入模板!G133,""))</f>
        <v/>
      </c>
      <c r="O134" s="12" t="str">
        <f>IF(字段输入模板!P133="","",IFERROR(字段输入模板!H133,""))</f>
        <v/>
      </c>
      <c r="P134" s="13" t="str">
        <f>IF(字段输入模板!P133="","",IFERROR(字段输入模板!R133,""))</f>
        <v/>
      </c>
    </row>
    <row r="135" spans="1:16">
      <c r="A135" s="12" t="str">
        <f>IF(字段输入模板!P134="","",IFERROR(字段输入模板!P134,""))</f>
        <v/>
      </c>
      <c r="B135" s="12" t="str">
        <f>IF(字段输入模板!P134="","",IF(字段输入模板!C134="",IFERROR(字段输入模板!B134,""),IFERROR(字段输入模板!C134,"")))</f>
        <v/>
      </c>
      <c r="C135" s="12" t="str">
        <f>IF(字段输入模板!P134="","",IFERROR(字段输入模板!I134,""))</f>
        <v/>
      </c>
      <c r="D135" s="9" t="str">
        <f>IF(字段输入模板!P134="","",IFERROR(字段输入模板!Q134,""))</f>
        <v/>
      </c>
      <c r="E135" s="9" t="str">
        <f>IF(字段输入模板!P134="","",IFERROR(字段输入模板!L134,""))</f>
        <v/>
      </c>
      <c r="F135" s="9" t="str">
        <f>IF(字段输入模板!P134="","",IFERROR(字段输入模板!J134,""))</f>
        <v/>
      </c>
      <c r="G135" s="9" t="str">
        <f>IF(字段输入模板!P134="","",IFERROR(字段输入模板!K134,""))</f>
        <v/>
      </c>
      <c r="H135" s="12" t="str">
        <f>IF(字段输入模板!P134="","",IFERROR(字段输入模板!M134,""))</f>
        <v/>
      </c>
      <c r="I135" s="12" t="str">
        <f>IF(字段输入模板!P134="","",IFERROR(字段输入模板!N134,""))</f>
        <v/>
      </c>
      <c r="J135" s="12" t="str">
        <f>IF(字段输入模板!P134="","",IFERROR(字段输入模板!E134,""))</f>
        <v/>
      </c>
      <c r="K135" s="12" t="str">
        <f>IF(字段输入模板!P134="","",IFERROR(字段输入模板!O134,""))</f>
        <v/>
      </c>
      <c r="L135" s="9" t="str">
        <f>IF(字段输入模板!P134="","",IFERROR(字段输入模板!A134,""))</f>
        <v/>
      </c>
      <c r="M135" s="9" t="str">
        <f>IF(字段输入模板!P134="","",IFERROR(字段输入模板!F134,""))</f>
        <v/>
      </c>
      <c r="N135" s="9" t="str">
        <f>IF(字段输入模板!P134="","",IFERROR(字段输入模板!G134,""))</f>
        <v/>
      </c>
      <c r="O135" s="12" t="str">
        <f>IF(字段输入模板!P134="","",IFERROR(字段输入模板!H134,""))</f>
        <v/>
      </c>
      <c r="P135" s="13" t="str">
        <f>IF(字段输入模板!P134="","",IFERROR(字段输入模板!R134,""))</f>
        <v/>
      </c>
    </row>
    <row r="136" spans="1:16">
      <c r="A136" s="12" t="str">
        <f>IF(字段输入模板!P135="","",IFERROR(字段输入模板!P135,""))</f>
        <v/>
      </c>
      <c r="B136" s="12" t="str">
        <f>IF(字段输入模板!P135="","",IF(字段输入模板!C135="",IFERROR(字段输入模板!B135,""),IFERROR(字段输入模板!C135,"")))</f>
        <v/>
      </c>
      <c r="C136" s="12" t="str">
        <f>IF(字段输入模板!P135="","",IFERROR(字段输入模板!I135,""))</f>
        <v/>
      </c>
      <c r="D136" s="9" t="str">
        <f>IF(字段输入模板!P135="","",IFERROR(字段输入模板!Q135,""))</f>
        <v/>
      </c>
      <c r="E136" s="9" t="str">
        <f>IF(字段输入模板!P135="","",IFERROR(字段输入模板!L135,""))</f>
        <v/>
      </c>
      <c r="F136" s="9" t="str">
        <f>IF(字段输入模板!P135="","",IFERROR(字段输入模板!J135,""))</f>
        <v/>
      </c>
      <c r="G136" s="9" t="str">
        <f>IF(字段输入模板!P135="","",IFERROR(字段输入模板!K135,""))</f>
        <v/>
      </c>
      <c r="H136" s="12" t="str">
        <f>IF(字段输入模板!P135="","",IFERROR(字段输入模板!M135,""))</f>
        <v/>
      </c>
      <c r="I136" s="12" t="str">
        <f>IF(字段输入模板!P135="","",IFERROR(字段输入模板!N135,""))</f>
        <v/>
      </c>
      <c r="J136" s="12" t="str">
        <f>IF(字段输入模板!P135="","",IFERROR(字段输入模板!E135,""))</f>
        <v/>
      </c>
      <c r="K136" s="12" t="str">
        <f>IF(字段输入模板!P135="","",IFERROR(字段输入模板!O135,""))</f>
        <v/>
      </c>
      <c r="L136" s="9" t="str">
        <f>IF(字段输入模板!P135="","",IFERROR(字段输入模板!A135,""))</f>
        <v/>
      </c>
      <c r="M136" s="9" t="str">
        <f>IF(字段输入模板!P135="","",IFERROR(字段输入模板!F135,""))</f>
        <v/>
      </c>
      <c r="N136" s="9" t="str">
        <f>IF(字段输入模板!P135="","",IFERROR(字段输入模板!G135,""))</f>
        <v/>
      </c>
      <c r="O136" s="12" t="str">
        <f>IF(字段输入模板!P135="","",IFERROR(字段输入模板!H135,""))</f>
        <v/>
      </c>
      <c r="P136" s="13" t="str">
        <f>IF(字段输入模板!P135="","",IFERROR(字段输入模板!R135,""))</f>
        <v/>
      </c>
    </row>
    <row r="137" spans="1:16">
      <c r="A137" s="12" t="str">
        <f>IF(字段输入模板!P136="","",IFERROR(字段输入模板!P136,""))</f>
        <v/>
      </c>
      <c r="B137" s="12" t="str">
        <f>IF(字段输入模板!P136="","",IF(字段输入模板!C136="",IFERROR(字段输入模板!B136,""),IFERROR(字段输入模板!C136,"")))</f>
        <v/>
      </c>
      <c r="C137" s="12" t="str">
        <f>IF(字段输入模板!P136="","",IFERROR(字段输入模板!I136,""))</f>
        <v/>
      </c>
      <c r="D137" s="9" t="str">
        <f>IF(字段输入模板!P136="","",IFERROR(字段输入模板!Q136,""))</f>
        <v/>
      </c>
      <c r="E137" s="9" t="str">
        <f>IF(字段输入模板!P136="","",IFERROR(字段输入模板!L136,""))</f>
        <v/>
      </c>
      <c r="F137" s="9" t="str">
        <f>IF(字段输入模板!P136="","",IFERROR(字段输入模板!J136,""))</f>
        <v/>
      </c>
      <c r="G137" s="9" t="str">
        <f>IF(字段输入模板!P136="","",IFERROR(字段输入模板!K136,""))</f>
        <v/>
      </c>
      <c r="H137" s="12" t="str">
        <f>IF(字段输入模板!P136="","",IFERROR(字段输入模板!M136,""))</f>
        <v/>
      </c>
      <c r="I137" s="12" t="str">
        <f>IF(字段输入模板!P136="","",IFERROR(字段输入模板!N136,""))</f>
        <v/>
      </c>
      <c r="J137" s="12" t="str">
        <f>IF(字段输入模板!P136="","",IFERROR(字段输入模板!E136,""))</f>
        <v/>
      </c>
      <c r="K137" s="12" t="str">
        <f>IF(字段输入模板!P136="","",IFERROR(字段输入模板!O136,""))</f>
        <v/>
      </c>
      <c r="L137" s="9" t="str">
        <f>IF(字段输入模板!P136="","",IFERROR(字段输入模板!A136,""))</f>
        <v/>
      </c>
      <c r="M137" s="9" t="str">
        <f>IF(字段输入模板!P136="","",IFERROR(字段输入模板!F136,""))</f>
        <v/>
      </c>
      <c r="N137" s="9" t="str">
        <f>IF(字段输入模板!P136="","",IFERROR(字段输入模板!G136,""))</f>
        <v/>
      </c>
      <c r="O137" s="12" t="str">
        <f>IF(字段输入模板!P136="","",IFERROR(字段输入模板!H136,""))</f>
        <v/>
      </c>
      <c r="P137" s="13" t="str">
        <f>IF(字段输入模板!P136="","",IFERROR(字段输入模板!R136,""))</f>
        <v/>
      </c>
    </row>
    <row r="138" spans="1:16">
      <c r="A138" s="12" t="str">
        <f>IF(字段输入模板!P137="","",IFERROR(字段输入模板!P137,""))</f>
        <v/>
      </c>
      <c r="B138" s="12" t="str">
        <f>IF(字段输入模板!P137="","",IF(字段输入模板!C137="",IFERROR(字段输入模板!B137,""),IFERROR(字段输入模板!C137,"")))</f>
        <v/>
      </c>
      <c r="C138" s="12" t="str">
        <f>IF(字段输入模板!P137="","",IFERROR(字段输入模板!I137,""))</f>
        <v/>
      </c>
      <c r="D138" s="9" t="str">
        <f>IF(字段输入模板!P137="","",IFERROR(字段输入模板!Q137,""))</f>
        <v/>
      </c>
      <c r="E138" s="9" t="str">
        <f>IF(字段输入模板!P137="","",IFERROR(字段输入模板!L137,""))</f>
        <v/>
      </c>
      <c r="F138" s="9" t="str">
        <f>IF(字段输入模板!P137="","",IFERROR(字段输入模板!J137,""))</f>
        <v/>
      </c>
      <c r="G138" s="9" t="str">
        <f>IF(字段输入模板!P137="","",IFERROR(字段输入模板!K137,""))</f>
        <v/>
      </c>
      <c r="H138" s="12" t="str">
        <f>IF(字段输入模板!P137="","",IFERROR(字段输入模板!M137,""))</f>
        <v/>
      </c>
      <c r="I138" s="12" t="str">
        <f>IF(字段输入模板!P137="","",IFERROR(字段输入模板!N137,""))</f>
        <v/>
      </c>
      <c r="J138" s="12" t="str">
        <f>IF(字段输入模板!P137="","",IFERROR(字段输入模板!E137,""))</f>
        <v/>
      </c>
      <c r="K138" s="12" t="str">
        <f>IF(字段输入模板!P137="","",IFERROR(字段输入模板!O137,""))</f>
        <v/>
      </c>
      <c r="L138" s="9" t="str">
        <f>IF(字段输入模板!P137="","",IFERROR(字段输入模板!A137,""))</f>
        <v/>
      </c>
      <c r="M138" s="9" t="str">
        <f>IF(字段输入模板!P137="","",IFERROR(字段输入模板!F137,""))</f>
        <v/>
      </c>
      <c r="N138" s="9" t="str">
        <f>IF(字段输入模板!P137="","",IFERROR(字段输入模板!G137,""))</f>
        <v/>
      </c>
      <c r="O138" s="12" t="str">
        <f>IF(字段输入模板!P137="","",IFERROR(字段输入模板!H137,""))</f>
        <v/>
      </c>
      <c r="P138" s="13" t="str">
        <f>IF(字段输入模板!P137="","",IFERROR(字段输入模板!R137,""))</f>
        <v/>
      </c>
    </row>
    <row r="139" spans="1:16">
      <c r="A139" s="12" t="str">
        <f>IF(字段输入模板!P138="","",IFERROR(字段输入模板!P138,""))</f>
        <v/>
      </c>
      <c r="B139" s="12" t="str">
        <f>IF(字段输入模板!P138="","",IF(字段输入模板!C138="",IFERROR(字段输入模板!B138,""),IFERROR(字段输入模板!C138,"")))</f>
        <v/>
      </c>
      <c r="C139" s="12" t="str">
        <f>IF(字段输入模板!P138="","",IFERROR(字段输入模板!I138,""))</f>
        <v/>
      </c>
      <c r="D139" s="9" t="str">
        <f>IF(字段输入模板!P138="","",IFERROR(字段输入模板!Q138,""))</f>
        <v/>
      </c>
      <c r="E139" s="9" t="str">
        <f>IF(字段输入模板!P138="","",IFERROR(字段输入模板!L138,""))</f>
        <v/>
      </c>
      <c r="F139" s="9" t="str">
        <f>IF(字段输入模板!P138="","",IFERROR(字段输入模板!J138,""))</f>
        <v/>
      </c>
      <c r="G139" s="9" t="str">
        <f>IF(字段输入模板!P138="","",IFERROR(字段输入模板!K138,""))</f>
        <v/>
      </c>
      <c r="H139" s="12" t="str">
        <f>IF(字段输入模板!P138="","",IFERROR(字段输入模板!M138,""))</f>
        <v/>
      </c>
      <c r="I139" s="12" t="str">
        <f>IF(字段输入模板!P138="","",IFERROR(字段输入模板!N138,""))</f>
        <v/>
      </c>
      <c r="J139" s="12" t="str">
        <f>IF(字段输入模板!P138="","",IFERROR(字段输入模板!E138,""))</f>
        <v/>
      </c>
      <c r="K139" s="12" t="str">
        <f>IF(字段输入模板!P138="","",IFERROR(字段输入模板!O138,""))</f>
        <v/>
      </c>
      <c r="L139" s="9" t="str">
        <f>IF(字段输入模板!P138="","",IFERROR(字段输入模板!A138,""))</f>
        <v/>
      </c>
      <c r="M139" s="9" t="str">
        <f>IF(字段输入模板!P138="","",IFERROR(字段输入模板!F138,""))</f>
        <v/>
      </c>
      <c r="N139" s="9" t="str">
        <f>IF(字段输入模板!P138="","",IFERROR(字段输入模板!G138,""))</f>
        <v/>
      </c>
      <c r="O139" s="12" t="str">
        <f>IF(字段输入模板!P138="","",IFERROR(字段输入模板!H138,""))</f>
        <v/>
      </c>
      <c r="P139" s="13" t="str">
        <f>IF(字段输入模板!P138="","",IFERROR(字段输入模板!R138,""))</f>
        <v/>
      </c>
    </row>
    <row r="140" spans="1:16">
      <c r="A140" s="12" t="str">
        <f>IF(字段输入模板!P139="","",IFERROR(字段输入模板!P139,""))</f>
        <v/>
      </c>
      <c r="B140" s="12" t="str">
        <f>IF(字段输入模板!P139="","",IF(字段输入模板!C139="",IFERROR(字段输入模板!B139,""),IFERROR(字段输入模板!C139,"")))</f>
        <v/>
      </c>
      <c r="C140" s="12" t="str">
        <f>IF(字段输入模板!P139="","",IFERROR(字段输入模板!I139,""))</f>
        <v/>
      </c>
      <c r="D140" s="9" t="str">
        <f>IF(字段输入模板!P139="","",IFERROR(字段输入模板!Q139,""))</f>
        <v/>
      </c>
      <c r="E140" s="9" t="str">
        <f>IF(字段输入模板!P139="","",IFERROR(字段输入模板!L139,""))</f>
        <v/>
      </c>
      <c r="F140" s="9" t="str">
        <f>IF(字段输入模板!P139="","",IFERROR(字段输入模板!J139,""))</f>
        <v/>
      </c>
      <c r="G140" s="9" t="str">
        <f>IF(字段输入模板!P139="","",IFERROR(字段输入模板!K139,""))</f>
        <v/>
      </c>
      <c r="H140" s="12" t="str">
        <f>IF(字段输入模板!P139="","",IFERROR(字段输入模板!M139,""))</f>
        <v/>
      </c>
      <c r="I140" s="12" t="str">
        <f>IF(字段输入模板!P139="","",IFERROR(字段输入模板!N139,""))</f>
        <v/>
      </c>
      <c r="J140" s="12" t="str">
        <f>IF(字段输入模板!P139="","",IFERROR(字段输入模板!E139,""))</f>
        <v/>
      </c>
      <c r="K140" s="12" t="str">
        <f>IF(字段输入模板!P139="","",IFERROR(字段输入模板!O139,""))</f>
        <v/>
      </c>
      <c r="L140" s="9" t="str">
        <f>IF(字段输入模板!P139="","",IFERROR(字段输入模板!A139,""))</f>
        <v/>
      </c>
      <c r="M140" s="9" t="str">
        <f>IF(字段输入模板!P139="","",IFERROR(字段输入模板!F139,""))</f>
        <v/>
      </c>
      <c r="N140" s="9" t="str">
        <f>IF(字段输入模板!P139="","",IFERROR(字段输入模板!G139,""))</f>
        <v/>
      </c>
      <c r="O140" s="12" t="str">
        <f>IF(字段输入模板!P139="","",IFERROR(字段输入模板!H139,""))</f>
        <v/>
      </c>
      <c r="P140" s="13" t="str">
        <f>IF(字段输入模板!P139="","",IFERROR(字段输入模板!R139,""))</f>
        <v/>
      </c>
    </row>
    <row r="141" spans="1:16">
      <c r="A141" s="12" t="str">
        <f>IF(字段输入模板!P140="","",IFERROR(字段输入模板!P140,""))</f>
        <v/>
      </c>
      <c r="B141" s="12" t="str">
        <f>IF(字段输入模板!P140="","",IF(字段输入模板!C140="",IFERROR(字段输入模板!B140,""),IFERROR(字段输入模板!C140,"")))</f>
        <v/>
      </c>
      <c r="C141" s="12" t="str">
        <f>IF(字段输入模板!P140="","",IFERROR(字段输入模板!I140,""))</f>
        <v/>
      </c>
      <c r="D141" s="9" t="str">
        <f>IF(字段输入模板!P140="","",IFERROR(字段输入模板!Q140,""))</f>
        <v/>
      </c>
      <c r="E141" s="9" t="str">
        <f>IF(字段输入模板!P140="","",IFERROR(字段输入模板!L140,""))</f>
        <v/>
      </c>
      <c r="F141" s="9" t="str">
        <f>IF(字段输入模板!P140="","",IFERROR(字段输入模板!J140,""))</f>
        <v/>
      </c>
      <c r="G141" s="9" t="str">
        <f>IF(字段输入模板!P140="","",IFERROR(字段输入模板!K140,""))</f>
        <v/>
      </c>
      <c r="H141" s="12" t="str">
        <f>IF(字段输入模板!P140="","",IFERROR(字段输入模板!M140,""))</f>
        <v/>
      </c>
      <c r="I141" s="12" t="str">
        <f>IF(字段输入模板!P140="","",IFERROR(字段输入模板!N140,""))</f>
        <v/>
      </c>
      <c r="J141" s="12" t="str">
        <f>IF(字段输入模板!P140="","",IFERROR(字段输入模板!E140,""))</f>
        <v/>
      </c>
      <c r="K141" s="12" t="str">
        <f>IF(字段输入模板!P140="","",IFERROR(字段输入模板!O140,""))</f>
        <v/>
      </c>
      <c r="L141" s="9" t="str">
        <f>IF(字段输入模板!P140="","",IFERROR(字段输入模板!A140,""))</f>
        <v/>
      </c>
      <c r="M141" s="9" t="str">
        <f>IF(字段输入模板!P140="","",IFERROR(字段输入模板!F140,""))</f>
        <v/>
      </c>
      <c r="N141" s="9" t="str">
        <f>IF(字段输入模板!P140="","",IFERROR(字段输入模板!G140,""))</f>
        <v/>
      </c>
      <c r="O141" s="12" t="str">
        <f>IF(字段输入模板!P140="","",IFERROR(字段输入模板!H140,""))</f>
        <v/>
      </c>
      <c r="P141" s="13" t="str">
        <f>IF(字段输入模板!P140="","",IFERROR(字段输入模板!R140,""))</f>
        <v/>
      </c>
    </row>
    <row r="142" spans="1:16">
      <c r="A142" s="12" t="str">
        <f>IF(字段输入模板!P141="","",IFERROR(字段输入模板!P141,""))</f>
        <v/>
      </c>
      <c r="B142" s="12" t="str">
        <f>IF(字段输入模板!P141="","",IF(字段输入模板!C141="",IFERROR(字段输入模板!B141,""),IFERROR(字段输入模板!C141,"")))</f>
        <v/>
      </c>
      <c r="C142" s="12" t="str">
        <f>IF(字段输入模板!P141="","",IFERROR(字段输入模板!I141,""))</f>
        <v/>
      </c>
      <c r="D142" s="9" t="str">
        <f>IF(字段输入模板!P141="","",IFERROR(字段输入模板!Q141,""))</f>
        <v/>
      </c>
      <c r="E142" s="9" t="str">
        <f>IF(字段输入模板!P141="","",IFERROR(字段输入模板!L141,""))</f>
        <v/>
      </c>
      <c r="F142" s="9" t="str">
        <f>IF(字段输入模板!P141="","",IFERROR(字段输入模板!J141,""))</f>
        <v/>
      </c>
      <c r="G142" s="9" t="str">
        <f>IF(字段输入模板!P141="","",IFERROR(字段输入模板!K141,""))</f>
        <v/>
      </c>
      <c r="H142" s="12" t="str">
        <f>IF(字段输入模板!P141="","",IFERROR(字段输入模板!M141,""))</f>
        <v/>
      </c>
      <c r="I142" s="12" t="str">
        <f>IF(字段输入模板!P141="","",IFERROR(字段输入模板!N141,""))</f>
        <v/>
      </c>
      <c r="J142" s="12" t="str">
        <f>IF(字段输入模板!P141="","",IFERROR(字段输入模板!E141,""))</f>
        <v/>
      </c>
      <c r="K142" s="12" t="str">
        <f>IF(字段输入模板!P141="","",IFERROR(字段输入模板!O141,""))</f>
        <v/>
      </c>
      <c r="L142" s="9" t="str">
        <f>IF(字段输入模板!P141="","",IFERROR(字段输入模板!A141,""))</f>
        <v/>
      </c>
      <c r="M142" s="9" t="str">
        <f>IF(字段输入模板!P141="","",IFERROR(字段输入模板!F141,""))</f>
        <v/>
      </c>
      <c r="N142" s="9" t="str">
        <f>IF(字段输入模板!P141="","",IFERROR(字段输入模板!G141,""))</f>
        <v/>
      </c>
      <c r="O142" s="12" t="str">
        <f>IF(字段输入模板!P141="","",IFERROR(字段输入模板!H141,""))</f>
        <v/>
      </c>
      <c r="P142" s="13" t="str">
        <f>IF(字段输入模板!P141="","",IFERROR(字段输入模板!R141,""))</f>
        <v/>
      </c>
    </row>
    <row r="143" spans="1:16">
      <c r="A143" s="12" t="str">
        <f>IF(字段输入模板!P142="","",IFERROR(字段输入模板!P142,""))</f>
        <v/>
      </c>
      <c r="B143" s="12" t="str">
        <f>IF(字段输入模板!P142="","",IF(字段输入模板!C142="",IFERROR(字段输入模板!B142,""),IFERROR(字段输入模板!C142,"")))</f>
        <v/>
      </c>
      <c r="C143" s="12" t="str">
        <f>IF(字段输入模板!P142="","",IFERROR(字段输入模板!I142,""))</f>
        <v/>
      </c>
      <c r="D143" s="9" t="str">
        <f>IF(字段输入模板!P142="","",IFERROR(字段输入模板!Q142,""))</f>
        <v/>
      </c>
      <c r="E143" s="9" t="str">
        <f>IF(字段输入模板!P142="","",IFERROR(字段输入模板!L142,""))</f>
        <v/>
      </c>
      <c r="F143" s="9" t="str">
        <f>IF(字段输入模板!P142="","",IFERROR(字段输入模板!J142,""))</f>
        <v/>
      </c>
      <c r="G143" s="9" t="str">
        <f>IF(字段输入模板!P142="","",IFERROR(字段输入模板!K142,""))</f>
        <v/>
      </c>
      <c r="H143" s="12" t="str">
        <f>IF(字段输入模板!P142="","",IFERROR(字段输入模板!M142,""))</f>
        <v/>
      </c>
      <c r="I143" s="12" t="str">
        <f>IF(字段输入模板!P142="","",IFERROR(字段输入模板!N142,""))</f>
        <v/>
      </c>
      <c r="J143" s="12" t="str">
        <f>IF(字段输入模板!P142="","",IFERROR(字段输入模板!E142,""))</f>
        <v/>
      </c>
      <c r="K143" s="12" t="str">
        <f>IF(字段输入模板!P142="","",IFERROR(字段输入模板!O142,""))</f>
        <v/>
      </c>
      <c r="L143" s="9" t="str">
        <f>IF(字段输入模板!P142="","",IFERROR(字段输入模板!A142,""))</f>
        <v/>
      </c>
      <c r="M143" s="9" t="str">
        <f>IF(字段输入模板!P142="","",IFERROR(字段输入模板!F142,""))</f>
        <v/>
      </c>
      <c r="N143" s="9" t="str">
        <f>IF(字段输入模板!P142="","",IFERROR(字段输入模板!G142,""))</f>
        <v/>
      </c>
      <c r="O143" s="12" t="str">
        <f>IF(字段输入模板!P142="","",IFERROR(字段输入模板!H142,""))</f>
        <v/>
      </c>
      <c r="P143" s="13" t="str">
        <f>IF(字段输入模板!P142="","",IFERROR(字段输入模板!R142,""))</f>
        <v/>
      </c>
    </row>
    <row r="144" spans="1:16">
      <c r="A144" s="12" t="str">
        <f>IF(字段输入模板!P143="","",IFERROR(字段输入模板!P143,""))</f>
        <v/>
      </c>
      <c r="B144" s="12" t="str">
        <f>IF(字段输入模板!P143="","",IF(字段输入模板!C143="",IFERROR(字段输入模板!B143,""),IFERROR(字段输入模板!C143,"")))</f>
        <v/>
      </c>
      <c r="C144" s="12" t="str">
        <f>IF(字段输入模板!P143="","",IFERROR(字段输入模板!I143,""))</f>
        <v/>
      </c>
      <c r="D144" s="9" t="str">
        <f>IF(字段输入模板!P143="","",IFERROR(字段输入模板!Q143,""))</f>
        <v/>
      </c>
      <c r="E144" s="9" t="str">
        <f>IF(字段输入模板!P143="","",IFERROR(字段输入模板!L143,""))</f>
        <v/>
      </c>
      <c r="F144" s="9" t="str">
        <f>IF(字段输入模板!P143="","",IFERROR(字段输入模板!J143,""))</f>
        <v/>
      </c>
      <c r="G144" s="9" t="str">
        <f>IF(字段输入模板!P143="","",IFERROR(字段输入模板!K143,""))</f>
        <v/>
      </c>
      <c r="H144" s="12" t="str">
        <f>IF(字段输入模板!P143="","",IFERROR(字段输入模板!M143,""))</f>
        <v/>
      </c>
      <c r="I144" s="12" t="str">
        <f>IF(字段输入模板!P143="","",IFERROR(字段输入模板!N143,""))</f>
        <v/>
      </c>
      <c r="J144" s="12" t="str">
        <f>IF(字段输入模板!P143="","",IFERROR(字段输入模板!E143,""))</f>
        <v/>
      </c>
      <c r="K144" s="12" t="str">
        <f>IF(字段输入模板!P143="","",IFERROR(字段输入模板!O143,""))</f>
        <v/>
      </c>
      <c r="L144" s="9" t="str">
        <f>IF(字段输入模板!P143="","",IFERROR(字段输入模板!A143,""))</f>
        <v/>
      </c>
      <c r="M144" s="9" t="str">
        <f>IF(字段输入模板!P143="","",IFERROR(字段输入模板!F143,""))</f>
        <v/>
      </c>
      <c r="N144" s="9" t="str">
        <f>IF(字段输入模板!P143="","",IFERROR(字段输入模板!G143,""))</f>
        <v/>
      </c>
      <c r="O144" s="12" t="str">
        <f>IF(字段输入模板!P143="","",IFERROR(字段输入模板!H143,""))</f>
        <v/>
      </c>
      <c r="P144" s="13" t="str">
        <f>IF(字段输入模板!P143="","",IFERROR(字段输入模板!R143,""))</f>
        <v/>
      </c>
    </row>
    <row r="145" spans="1:16">
      <c r="A145" s="12" t="str">
        <f>IF(字段输入模板!P144="","",IFERROR(字段输入模板!P144,""))</f>
        <v/>
      </c>
      <c r="B145" s="12" t="str">
        <f>IF(字段输入模板!P144="","",IF(字段输入模板!C144="",IFERROR(字段输入模板!B144,""),IFERROR(字段输入模板!C144,"")))</f>
        <v/>
      </c>
      <c r="C145" s="12" t="str">
        <f>IF(字段输入模板!P144="","",IFERROR(字段输入模板!I144,""))</f>
        <v/>
      </c>
      <c r="D145" s="9" t="str">
        <f>IF(字段输入模板!P144="","",IFERROR(字段输入模板!Q144,""))</f>
        <v/>
      </c>
      <c r="E145" s="9" t="str">
        <f>IF(字段输入模板!P144="","",IFERROR(字段输入模板!L144,""))</f>
        <v/>
      </c>
      <c r="F145" s="9" t="str">
        <f>IF(字段输入模板!P144="","",IFERROR(字段输入模板!J144,""))</f>
        <v/>
      </c>
      <c r="G145" s="9" t="str">
        <f>IF(字段输入模板!P144="","",IFERROR(字段输入模板!K144,""))</f>
        <v/>
      </c>
      <c r="H145" s="12" t="str">
        <f>IF(字段输入模板!P144="","",IFERROR(字段输入模板!M144,""))</f>
        <v/>
      </c>
      <c r="I145" s="12" t="str">
        <f>IF(字段输入模板!P144="","",IFERROR(字段输入模板!N144,""))</f>
        <v/>
      </c>
      <c r="J145" s="12" t="str">
        <f>IF(字段输入模板!P144="","",IFERROR(字段输入模板!E144,""))</f>
        <v/>
      </c>
      <c r="K145" s="12" t="str">
        <f>IF(字段输入模板!P144="","",IFERROR(字段输入模板!O144,""))</f>
        <v/>
      </c>
      <c r="L145" s="9" t="str">
        <f>IF(字段输入模板!P144="","",IFERROR(字段输入模板!A144,""))</f>
        <v/>
      </c>
      <c r="M145" s="9" t="str">
        <f>IF(字段输入模板!P144="","",IFERROR(字段输入模板!F144,""))</f>
        <v/>
      </c>
      <c r="N145" s="9" t="str">
        <f>IF(字段输入模板!P144="","",IFERROR(字段输入模板!G144,""))</f>
        <v/>
      </c>
      <c r="O145" s="12" t="str">
        <f>IF(字段输入模板!P144="","",IFERROR(字段输入模板!H144,""))</f>
        <v/>
      </c>
      <c r="P145" s="13" t="str">
        <f>IF(字段输入模板!P144="","",IFERROR(字段输入模板!R144,""))</f>
        <v/>
      </c>
    </row>
    <row r="146" spans="1:16">
      <c r="A146" s="12" t="str">
        <f>IF(字段输入模板!P145="","",IFERROR(字段输入模板!P145,""))</f>
        <v/>
      </c>
      <c r="B146" s="12" t="str">
        <f>IF(字段输入模板!P145="","",IF(字段输入模板!C145="",IFERROR(字段输入模板!B145,""),IFERROR(字段输入模板!C145,"")))</f>
        <v/>
      </c>
      <c r="C146" s="12" t="str">
        <f>IF(字段输入模板!P145="","",IFERROR(字段输入模板!I145,""))</f>
        <v/>
      </c>
      <c r="D146" s="9" t="str">
        <f>IF(字段输入模板!P145="","",IFERROR(字段输入模板!Q145,""))</f>
        <v/>
      </c>
      <c r="E146" s="9" t="str">
        <f>IF(字段输入模板!P145="","",IFERROR(字段输入模板!L145,""))</f>
        <v/>
      </c>
      <c r="F146" s="9" t="str">
        <f>IF(字段输入模板!P145="","",IFERROR(字段输入模板!J145,""))</f>
        <v/>
      </c>
      <c r="G146" s="9" t="str">
        <f>IF(字段输入模板!P145="","",IFERROR(字段输入模板!K145,""))</f>
        <v/>
      </c>
      <c r="H146" s="12" t="str">
        <f>IF(字段输入模板!P145="","",IFERROR(字段输入模板!M145,""))</f>
        <v/>
      </c>
      <c r="I146" s="12" t="str">
        <f>IF(字段输入模板!P145="","",IFERROR(字段输入模板!N145,""))</f>
        <v/>
      </c>
      <c r="J146" s="12" t="str">
        <f>IF(字段输入模板!P145="","",IFERROR(字段输入模板!E145,""))</f>
        <v/>
      </c>
      <c r="K146" s="12" t="str">
        <f>IF(字段输入模板!P145="","",IFERROR(字段输入模板!O145,""))</f>
        <v/>
      </c>
      <c r="L146" s="9" t="str">
        <f>IF(字段输入模板!P145="","",IFERROR(字段输入模板!A145,""))</f>
        <v/>
      </c>
      <c r="M146" s="9" t="str">
        <f>IF(字段输入模板!P145="","",IFERROR(字段输入模板!F145,""))</f>
        <v/>
      </c>
      <c r="N146" s="9" t="str">
        <f>IF(字段输入模板!P145="","",IFERROR(字段输入模板!G145,""))</f>
        <v/>
      </c>
      <c r="O146" s="12" t="str">
        <f>IF(字段输入模板!P145="","",IFERROR(字段输入模板!H145,""))</f>
        <v/>
      </c>
      <c r="P146" s="13" t="str">
        <f>IF(字段输入模板!P145="","",IFERROR(字段输入模板!R145,""))</f>
        <v/>
      </c>
    </row>
    <row r="147" spans="1:16">
      <c r="A147" s="12" t="str">
        <f>IF(字段输入模板!P146="","",IFERROR(字段输入模板!P146,""))</f>
        <v/>
      </c>
      <c r="B147" s="12" t="str">
        <f>IF(字段输入模板!P146="","",IF(字段输入模板!C146="",IFERROR(字段输入模板!B146,""),IFERROR(字段输入模板!C146,"")))</f>
        <v/>
      </c>
      <c r="C147" s="12" t="str">
        <f>IF(字段输入模板!P146="","",IFERROR(字段输入模板!I146,""))</f>
        <v/>
      </c>
      <c r="D147" s="9" t="str">
        <f>IF(字段输入模板!P146="","",IFERROR(字段输入模板!Q146,""))</f>
        <v/>
      </c>
      <c r="E147" s="9" t="str">
        <f>IF(字段输入模板!P146="","",IFERROR(字段输入模板!L146,""))</f>
        <v/>
      </c>
      <c r="F147" s="9" t="str">
        <f>IF(字段输入模板!P146="","",IFERROR(字段输入模板!J146,""))</f>
        <v/>
      </c>
      <c r="G147" s="9" t="str">
        <f>IF(字段输入模板!P146="","",IFERROR(字段输入模板!K146,""))</f>
        <v/>
      </c>
      <c r="H147" s="12" t="str">
        <f>IF(字段输入模板!P146="","",IFERROR(字段输入模板!M146,""))</f>
        <v/>
      </c>
      <c r="I147" s="12" t="str">
        <f>IF(字段输入模板!P146="","",IFERROR(字段输入模板!N146,""))</f>
        <v/>
      </c>
      <c r="J147" s="12" t="str">
        <f>IF(字段输入模板!P146="","",IFERROR(字段输入模板!E146,""))</f>
        <v/>
      </c>
      <c r="K147" s="12" t="str">
        <f>IF(字段输入模板!P146="","",IFERROR(字段输入模板!O146,""))</f>
        <v/>
      </c>
      <c r="L147" s="9" t="str">
        <f>IF(字段输入模板!P146="","",IFERROR(字段输入模板!A146,""))</f>
        <v/>
      </c>
      <c r="M147" s="9" t="str">
        <f>IF(字段输入模板!P146="","",IFERROR(字段输入模板!F146,""))</f>
        <v/>
      </c>
      <c r="N147" s="9" t="str">
        <f>IF(字段输入模板!P146="","",IFERROR(字段输入模板!G146,""))</f>
        <v/>
      </c>
      <c r="O147" s="12" t="str">
        <f>IF(字段输入模板!P146="","",IFERROR(字段输入模板!H146,""))</f>
        <v/>
      </c>
      <c r="P147" s="13" t="str">
        <f>IF(字段输入模板!P146="","",IFERROR(字段输入模板!R146,""))</f>
        <v/>
      </c>
    </row>
    <row r="148" spans="1:16">
      <c r="A148" s="12" t="str">
        <f>IF(字段输入模板!P147="","",IFERROR(字段输入模板!P147,""))</f>
        <v/>
      </c>
      <c r="B148" s="12" t="str">
        <f>IF(字段输入模板!P147="","",IF(字段输入模板!C147="",IFERROR(字段输入模板!B147,""),IFERROR(字段输入模板!C147,"")))</f>
        <v/>
      </c>
      <c r="C148" s="12" t="str">
        <f>IF(字段输入模板!P147="","",IFERROR(字段输入模板!I147,""))</f>
        <v/>
      </c>
      <c r="D148" s="9" t="str">
        <f>IF(字段输入模板!P147="","",IFERROR(字段输入模板!Q147,""))</f>
        <v/>
      </c>
      <c r="E148" s="9" t="str">
        <f>IF(字段输入模板!P147="","",IFERROR(字段输入模板!L147,""))</f>
        <v/>
      </c>
      <c r="F148" s="9" t="str">
        <f>IF(字段输入模板!P147="","",IFERROR(字段输入模板!J147,""))</f>
        <v/>
      </c>
      <c r="G148" s="9" t="str">
        <f>IF(字段输入模板!P147="","",IFERROR(字段输入模板!K147,""))</f>
        <v/>
      </c>
      <c r="H148" s="12" t="str">
        <f>IF(字段输入模板!P147="","",IFERROR(字段输入模板!M147,""))</f>
        <v/>
      </c>
      <c r="I148" s="12" t="str">
        <f>IF(字段输入模板!P147="","",IFERROR(字段输入模板!N147,""))</f>
        <v/>
      </c>
      <c r="J148" s="12" t="str">
        <f>IF(字段输入模板!P147="","",IFERROR(字段输入模板!E147,""))</f>
        <v/>
      </c>
      <c r="K148" s="12" t="str">
        <f>IF(字段输入模板!P147="","",IFERROR(字段输入模板!O147,""))</f>
        <v/>
      </c>
      <c r="L148" s="9" t="str">
        <f>IF(字段输入模板!P147="","",IFERROR(字段输入模板!A147,""))</f>
        <v/>
      </c>
      <c r="M148" s="9" t="str">
        <f>IF(字段输入模板!P147="","",IFERROR(字段输入模板!F147,""))</f>
        <v/>
      </c>
      <c r="N148" s="9" t="str">
        <f>IF(字段输入模板!P147="","",IFERROR(字段输入模板!G147,""))</f>
        <v/>
      </c>
      <c r="O148" s="12" t="str">
        <f>IF(字段输入模板!P147="","",IFERROR(字段输入模板!H147,""))</f>
        <v/>
      </c>
      <c r="P148" s="13" t="str">
        <f>IF(字段输入模板!P147="","",IFERROR(字段输入模板!R147,""))</f>
        <v/>
      </c>
    </row>
    <row r="149" spans="1:16">
      <c r="A149" s="12" t="str">
        <f>IF(字段输入模板!P148="","",IFERROR(字段输入模板!P148,""))</f>
        <v/>
      </c>
      <c r="B149" s="12" t="str">
        <f>IF(字段输入模板!P148="","",IF(字段输入模板!C148="",IFERROR(字段输入模板!B148,""),IFERROR(字段输入模板!C148,"")))</f>
        <v/>
      </c>
      <c r="C149" s="12" t="str">
        <f>IF(字段输入模板!P148="","",IFERROR(字段输入模板!I148,""))</f>
        <v/>
      </c>
      <c r="D149" s="9" t="str">
        <f>IF(字段输入模板!P148="","",IFERROR(字段输入模板!Q148,""))</f>
        <v/>
      </c>
      <c r="E149" s="9" t="str">
        <f>IF(字段输入模板!P148="","",IFERROR(字段输入模板!L148,""))</f>
        <v/>
      </c>
      <c r="F149" s="9" t="str">
        <f>IF(字段输入模板!P148="","",IFERROR(字段输入模板!J148,""))</f>
        <v/>
      </c>
      <c r="G149" s="9" t="str">
        <f>IF(字段输入模板!P148="","",IFERROR(字段输入模板!K148,""))</f>
        <v/>
      </c>
      <c r="H149" s="12" t="str">
        <f>IF(字段输入模板!P148="","",IFERROR(字段输入模板!M148,""))</f>
        <v/>
      </c>
      <c r="I149" s="12" t="str">
        <f>IF(字段输入模板!P148="","",IFERROR(字段输入模板!N148,""))</f>
        <v/>
      </c>
      <c r="J149" s="12" t="str">
        <f>IF(字段输入模板!P148="","",IFERROR(字段输入模板!E148,""))</f>
        <v/>
      </c>
      <c r="K149" s="12" t="str">
        <f>IF(字段输入模板!P148="","",IFERROR(字段输入模板!O148,""))</f>
        <v/>
      </c>
      <c r="L149" s="9" t="str">
        <f>IF(字段输入模板!P148="","",IFERROR(字段输入模板!A148,""))</f>
        <v/>
      </c>
      <c r="M149" s="9" t="str">
        <f>IF(字段输入模板!P148="","",IFERROR(字段输入模板!F148,""))</f>
        <v/>
      </c>
      <c r="N149" s="9" t="str">
        <f>IF(字段输入模板!P148="","",IFERROR(字段输入模板!G148,""))</f>
        <v/>
      </c>
      <c r="O149" s="12" t="str">
        <f>IF(字段输入模板!P148="","",IFERROR(字段输入模板!H148,""))</f>
        <v/>
      </c>
      <c r="P149" s="13" t="str">
        <f>IF(字段输入模板!P148="","",IFERROR(字段输入模板!R148,""))</f>
        <v/>
      </c>
    </row>
    <row r="150" spans="1:16">
      <c r="A150" s="12" t="str">
        <f>IF(字段输入模板!P149="","",IFERROR(字段输入模板!P149,""))</f>
        <v/>
      </c>
      <c r="B150" s="12" t="str">
        <f>IF(字段输入模板!P149="","",IF(字段输入模板!C149="",IFERROR(字段输入模板!B149,""),IFERROR(字段输入模板!C149,"")))</f>
        <v/>
      </c>
      <c r="C150" s="12" t="str">
        <f>IF(字段输入模板!P149="","",IFERROR(字段输入模板!I149,""))</f>
        <v/>
      </c>
      <c r="D150" s="9" t="str">
        <f>IF(字段输入模板!P149="","",IFERROR(字段输入模板!Q149,""))</f>
        <v/>
      </c>
      <c r="E150" s="9" t="str">
        <f>IF(字段输入模板!P149="","",IFERROR(字段输入模板!L149,""))</f>
        <v/>
      </c>
      <c r="F150" s="9" t="str">
        <f>IF(字段输入模板!P149="","",IFERROR(字段输入模板!J149,""))</f>
        <v/>
      </c>
      <c r="G150" s="9" t="str">
        <f>IF(字段输入模板!P149="","",IFERROR(字段输入模板!K149,""))</f>
        <v/>
      </c>
      <c r="H150" s="12" t="str">
        <f>IF(字段输入模板!P149="","",IFERROR(字段输入模板!M149,""))</f>
        <v/>
      </c>
      <c r="I150" s="12" t="str">
        <f>IF(字段输入模板!P149="","",IFERROR(字段输入模板!N149,""))</f>
        <v/>
      </c>
      <c r="J150" s="12" t="str">
        <f>IF(字段输入模板!P149="","",IFERROR(字段输入模板!E149,""))</f>
        <v/>
      </c>
      <c r="K150" s="12" t="str">
        <f>IF(字段输入模板!P149="","",IFERROR(字段输入模板!O149,""))</f>
        <v/>
      </c>
      <c r="L150" s="9" t="str">
        <f>IF(字段输入模板!P149="","",IFERROR(字段输入模板!A149,""))</f>
        <v/>
      </c>
      <c r="M150" s="9" t="str">
        <f>IF(字段输入模板!P149="","",IFERROR(字段输入模板!F149,""))</f>
        <v/>
      </c>
      <c r="N150" s="9" t="str">
        <f>IF(字段输入模板!P149="","",IFERROR(字段输入模板!G149,""))</f>
        <v/>
      </c>
      <c r="O150" s="12" t="str">
        <f>IF(字段输入模板!P149="","",IFERROR(字段输入模板!H149,""))</f>
        <v/>
      </c>
      <c r="P150" s="13" t="str">
        <f>IF(字段输入模板!P149="","",IFERROR(字段输入模板!R149,""))</f>
        <v/>
      </c>
    </row>
    <row r="151" spans="1:16">
      <c r="A151" s="12" t="str">
        <f>IF(字段输入模板!P150="","",IFERROR(字段输入模板!P150,""))</f>
        <v/>
      </c>
      <c r="B151" s="12" t="str">
        <f>IF(字段输入模板!P150="","",IF(字段输入模板!C150="",IFERROR(字段输入模板!B150,""),IFERROR(字段输入模板!C150,"")))</f>
        <v/>
      </c>
      <c r="C151" s="12" t="str">
        <f>IF(字段输入模板!P150="","",IFERROR(字段输入模板!I150,""))</f>
        <v/>
      </c>
      <c r="D151" s="9" t="str">
        <f>IF(字段输入模板!P150="","",IFERROR(字段输入模板!Q150,""))</f>
        <v/>
      </c>
      <c r="E151" s="9" t="str">
        <f>IF(字段输入模板!P150="","",IFERROR(字段输入模板!L150,""))</f>
        <v/>
      </c>
      <c r="F151" s="9" t="str">
        <f>IF(字段输入模板!P150="","",IFERROR(字段输入模板!J150,""))</f>
        <v/>
      </c>
      <c r="G151" s="9" t="str">
        <f>IF(字段输入模板!P150="","",IFERROR(字段输入模板!K150,""))</f>
        <v/>
      </c>
      <c r="H151" s="12" t="str">
        <f>IF(字段输入模板!P150="","",IFERROR(字段输入模板!M150,""))</f>
        <v/>
      </c>
      <c r="I151" s="12" t="str">
        <f>IF(字段输入模板!P150="","",IFERROR(字段输入模板!N150,""))</f>
        <v/>
      </c>
      <c r="J151" s="12" t="str">
        <f>IF(字段输入模板!P150="","",IFERROR(字段输入模板!E150,""))</f>
        <v/>
      </c>
      <c r="K151" s="12" t="str">
        <f>IF(字段输入模板!P150="","",IFERROR(字段输入模板!O150,""))</f>
        <v/>
      </c>
      <c r="L151" s="9" t="str">
        <f>IF(字段输入模板!P150="","",IFERROR(字段输入模板!A150,""))</f>
        <v/>
      </c>
      <c r="M151" s="9" t="str">
        <f>IF(字段输入模板!P150="","",IFERROR(字段输入模板!F150,""))</f>
        <v/>
      </c>
      <c r="N151" s="9" t="str">
        <f>IF(字段输入模板!P150="","",IFERROR(字段输入模板!G150,""))</f>
        <v/>
      </c>
      <c r="O151" s="12" t="str">
        <f>IF(字段输入模板!P150="","",IFERROR(字段输入模板!H150,""))</f>
        <v/>
      </c>
      <c r="P151" s="13" t="str">
        <f>IF(字段输入模板!P150="","",IFERROR(字段输入模板!R150,""))</f>
        <v/>
      </c>
    </row>
    <row r="152" spans="1:16">
      <c r="A152" s="12" t="str">
        <f>IF(字段输入模板!P151="","",IFERROR(字段输入模板!P151,""))</f>
        <v/>
      </c>
      <c r="B152" s="12" t="str">
        <f>IF(字段输入模板!P151="","",IF(字段输入模板!C151="",IFERROR(字段输入模板!B151,""),IFERROR(字段输入模板!C151,"")))</f>
        <v/>
      </c>
      <c r="C152" s="12" t="str">
        <f>IF(字段输入模板!P151="","",IFERROR(字段输入模板!I151,""))</f>
        <v/>
      </c>
      <c r="D152" s="9" t="str">
        <f>IF(字段输入模板!P151="","",IFERROR(字段输入模板!Q151,""))</f>
        <v/>
      </c>
      <c r="E152" s="9" t="str">
        <f>IF(字段输入模板!P151="","",IFERROR(字段输入模板!L151,""))</f>
        <v/>
      </c>
      <c r="F152" s="9" t="str">
        <f>IF(字段输入模板!P151="","",IFERROR(字段输入模板!J151,""))</f>
        <v/>
      </c>
      <c r="G152" s="9" t="str">
        <f>IF(字段输入模板!P151="","",IFERROR(字段输入模板!K151,""))</f>
        <v/>
      </c>
      <c r="H152" s="12" t="str">
        <f>IF(字段输入模板!P151="","",IFERROR(字段输入模板!M151,""))</f>
        <v/>
      </c>
      <c r="I152" s="12" t="str">
        <f>IF(字段输入模板!P151="","",IFERROR(字段输入模板!N151,""))</f>
        <v/>
      </c>
      <c r="J152" s="12" t="str">
        <f>IF(字段输入模板!P151="","",IFERROR(字段输入模板!E151,""))</f>
        <v/>
      </c>
      <c r="K152" s="12" t="str">
        <f>IF(字段输入模板!P151="","",IFERROR(字段输入模板!O151,""))</f>
        <v/>
      </c>
      <c r="L152" s="9" t="str">
        <f>IF(字段输入模板!P151="","",IFERROR(字段输入模板!A151,""))</f>
        <v/>
      </c>
      <c r="M152" s="9" t="str">
        <f>IF(字段输入模板!P151="","",IFERROR(字段输入模板!F151,""))</f>
        <v/>
      </c>
      <c r="N152" s="9" t="str">
        <f>IF(字段输入模板!P151="","",IFERROR(字段输入模板!G151,""))</f>
        <v/>
      </c>
      <c r="O152" s="12" t="str">
        <f>IF(字段输入模板!P151="","",IFERROR(字段输入模板!H151,""))</f>
        <v/>
      </c>
      <c r="P152" s="13" t="str">
        <f>IF(字段输入模板!P151="","",IFERROR(字段输入模板!R151,""))</f>
        <v/>
      </c>
    </row>
    <row r="153" spans="1:16">
      <c r="A153" s="12" t="str">
        <f>IF(字段输入模板!P152="","",IFERROR(字段输入模板!P152,""))</f>
        <v/>
      </c>
      <c r="B153" s="12" t="str">
        <f>IF(字段输入模板!P152="","",IF(字段输入模板!C152="",IFERROR(字段输入模板!B152,""),IFERROR(字段输入模板!C152,"")))</f>
        <v/>
      </c>
      <c r="C153" s="12" t="str">
        <f>IF(字段输入模板!P152="","",IFERROR(字段输入模板!I152,""))</f>
        <v/>
      </c>
      <c r="D153" s="9" t="str">
        <f>IF(字段输入模板!P152="","",IFERROR(字段输入模板!Q152,""))</f>
        <v/>
      </c>
      <c r="E153" s="9" t="str">
        <f>IF(字段输入模板!P152="","",IFERROR(字段输入模板!L152,""))</f>
        <v/>
      </c>
      <c r="F153" s="9" t="str">
        <f>IF(字段输入模板!P152="","",IFERROR(字段输入模板!J152,""))</f>
        <v/>
      </c>
      <c r="G153" s="9" t="str">
        <f>IF(字段输入模板!P152="","",IFERROR(字段输入模板!K152,""))</f>
        <v/>
      </c>
      <c r="H153" s="12" t="str">
        <f>IF(字段输入模板!P152="","",IFERROR(字段输入模板!M152,""))</f>
        <v/>
      </c>
      <c r="I153" s="12" t="str">
        <f>IF(字段输入模板!P152="","",IFERROR(字段输入模板!N152,""))</f>
        <v/>
      </c>
      <c r="J153" s="12" t="str">
        <f>IF(字段输入模板!P152="","",IFERROR(字段输入模板!E152,""))</f>
        <v/>
      </c>
      <c r="K153" s="12" t="str">
        <f>IF(字段输入模板!P152="","",IFERROR(字段输入模板!O152,""))</f>
        <v/>
      </c>
      <c r="L153" s="9" t="str">
        <f>IF(字段输入模板!P152="","",IFERROR(字段输入模板!A152,""))</f>
        <v/>
      </c>
      <c r="M153" s="9" t="str">
        <f>IF(字段输入模板!P152="","",IFERROR(字段输入模板!F152,""))</f>
        <v/>
      </c>
      <c r="N153" s="9" t="str">
        <f>IF(字段输入模板!P152="","",IFERROR(字段输入模板!G152,""))</f>
        <v/>
      </c>
      <c r="O153" s="12" t="str">
        <f>IF(字段输入模板!P152="","",IFERROR(字段输入模板!H152,""))</f>
        <v/>
      </c>
      <c r="P153" s="13" t="str">
        <f>IF(字段输入模板!P152="","",IFERROR(字段输入模板!R152,""))</f>
        <v/>
      </c>
    </row>
    <row r="154" spans="1:16">
      <c r="A154" s="12" t="str">
        <f>IF(字段输入模板!P153="","",IFERROR(字段输入模板!P153,""))</f>
        <v/>
      </c>
      <c r="B154" s="12" t="str">
        <f>IF(字段输入模板!P153="","",IF(字段输入模板!C153="",IFERROR(字段输入模板!B153,""),IFERROR(字段输入模板!C153,"")))</f>
        <v/>
      </c>
      <c r="C154" s="12" t="str">
        <f>IF(字段输入模板!P153="","",IFERROR(字段输入模板!I153,""))</f>
        <v/>
      </c>
      <c r="D154" s="9" t="str">
        <f>IF(字段输入模板!P153="","",IFERROR(字段输入模板!Q153,""))</f>
        <v/>
      </c>
      <c r="E154" s="9" t="str">
        <f>IF(字段输入模板!P153="","",IFERROR(字段输入模板!L153,""))</f>
        <v/>
      </c>
      <c r="F154" s="9" t="str">
        <f>IF(字段输入模板!P153="","",IFERROR(字段输入模板!J153,""))</f>
        <v/>
      </c>
      <c r="G154" s="9" t="str">
        <f>IF(字段输入模板!P153="","",IFERROR(字段输入模板!K153,""))</f>
        <v/>
      </c>
      <c r="H154" s="12" t="str">
        <f>IF(字段输入模板!P153="","",IFERROR(字段输入模板!M153,""))</f>
        <v/>
      </c>
      <c r="I154" s="12" t="str">
        <f>IF(字段输入模板!P153="","",IFERROR(字段输入模板!N153,""))</f>
        <v/>
      </c>
      <c r="J154" s="12" t="str">
        <f>IF(字段输入模板!P153="","",IFERROR(字段输入模板!E153,""))</f>
        <v/>
      </c>
      <c r="K154" s="12" t="str">
        <f>IF(字段输入模板!P153="","",IFERROR(字段输入模板!O153,""))</f>
        <v/>
      </c>
      <c r="L154" s="9" t="str">
        <f>IF(字段输入模板!P153="","",IFERROR(字段输入模板!A153,""))</f>
        <v/>
      </c>
      <c r="M154" s="9" t="str">
        <f>IF(字段输入模板!P153="","",IFERROR(字段输入模板!F153,""))</f>
        <v/>
      </c>
      <c r="N154" s="9" t="str">
        <f>IF(字段输入模板!P153="","",IFERROR(字段输入模板!G153,""))</f>
        <v/>
      </c>
      <c r="O154" s="12" t="str">
        <f>IF(字段输入模板!P153="","",IFERROR(字段输入模板!H153,""))</f>
        <v/>
      </c>
      <c r="P154" s="13" t="str">
        <f>IF(字段输入模板!P153="","",IFERROR(字段输入模板!R153,""))</f>
        <v/>
      </c>
    </row>
    <row r="155" spans="1:16">
      <c r="A155" s="12" t="str">
        <f>IF(字段输入模板!P154="","",IFERROR(字段输入模板!P154,""))</f>
        <v/>
      </c>
      <c r="B155" s="12" t="str">
        <f>IF(字段输入模板!P154="","",IF(字段输入模板!C154="",IFERROR(字段输入模板!B154,""),IFERROR(字段输入模板!C154,"")))</f>
        <v/>
      </c>
      <c r="C155" s="12" t="str">
        <f>IF(字段输入模板!P154="","",IFERROR(字段输入模板!I154,""))</f>
        <v/>
      </c>
      <c r="D155" s="9" t="str">
        <f>IF(字段输入模板!P154="","",IFERROR(字段输入模板!Q154,""))</f>
        <v/>
      </c>
      <c r="E155" s="9" t="str">
        <f>IF(字段输入模板!P154="","",IFERROR(字段输入模板!L154,""))</f>
        <v/>
      </c>
      <c r="F155" s="9" t="str">
        <f>IF(字段输入模板!P154="","",IFERROR(字段输入模板!J154,""))</f>
        <v/>
      </c>
      <c r="G155" s="9" t="str">
        <f>IF(字段输入模板!P154="","",IFERROR(字段输入模板!K154,""))</f>
        <v/>
      </c>
      <c r="H155" s="12" t="str">
        <f>IF(字段输入模板!P154="","",IFERROR(字段输入模板!M154,""))</f>
        <v/>
      </c>
      <c r="I155" s="12" t="str">
        <f>IF(字段输入模板!P154="","",IFERROR(字段输入模板!N154,""))</f>
        <v/>
      </c>
      <c r="J155" s="12" t="str">
        <f>IF(字段输入模板!P154="","",IFERROR(字段输入模板!E154,""))</f>
        <v/>
      </c>
      <c r="K155" s="12" t="str">
        <f>IF(字段输入模板!P154="","",IFERROR(字段输入模板!O154,""))</f>
        <v/>
      </c>
      <c r="L155" s="9" t="str">
        <f>IF(字段输入模板!P154="","",IFERROR(字段输入模板!A154,""))</f>
        <v/>
      </c>
      <c r="M155" s="9" t="str">
        <f>IF(字段输入模板!P154="","",IFERROR(字段输入模板!F154,""))</f>
        <v/>
      </c>
      <c r="N155" s="9" t="str">
        <f>IF(字段输入模板!P154="","",IFERROR(字段输入模板!G154,""))</f>
        <v/>
      </c>
      <c r="O155" s="12" t="str">
        <f>IF(字段输入模板!P154="","",IFERROR(字段输入模板!H154,""))</f>
        <v/>
      </c>
      <c r="P155" s="13" t="str">
        <f>IF(字段输入模板!P154="","",IFERROR(字段输入模板!R154,""))</f>
        <v/>
      </c>
    </row>
    <row r="156" spans="1:16">
      <c r="A156" s="12" t="str">
        <f>IF(字段输入模板!P155="","",IFERROR(字段输入模板!P155,""))</f>
        <v/>
      </c>
      <c r="B156" s="12" t="str">
        <f>IF(字段输入模板!P155="","",IF(字段输入模板!C155="",IFERROR(字段输入模板!B155,""),IFERROR(字段输入模板!C155,"")))</f>
        <v/>
      </c>
      <c r="C156" s="12" t="str">
        <f>IF(字段输入模板!P155="","",IFERROR(字段输入模板!I155,""))</f>
        <v/>
      </c>
      <c r="D156" s="9" t="str">
        <f>IF(字段输入模板!P155="","",IFERROR(字段输入模板!Q155,""))</f>
        <v/>
      </c>
      <c r="E156" s="9" t="str">
        <f>IF(字段输入模板!P155="","",IFERROR(字段输入模板!L155,""))</f>
        <v/>
      </c>
      <c r="F156" s="9" t="str">
        <f>IF(字段输入模板!P155="","",IFERROR(字段输入模板!J155,""))</f>
        <v/>
      </c>
      <c r="G156" s="9" t="str">
        <f>IF(字段输入模板!P155="","",IFERROR(字段输入模板!K155,""))</f>
        <v/>
      </c>
      <c r="H156" s="12" t="str">
        <f>IF(字段输入模板!P155="","",IFERROR(字段输入模板!M155,""))</f>
        <v/>
      </c>
      <c r="I156" s="12" t="str">
        <f>IF(字段输入模板!P155="","",IFERROR(字段输入模板!N155,""))</f>
        <v/>
      </c>
      <c r="J156" s="12" t="str">
        <f>IF(字段输入模板!P155="","",IFERROR(字段输入模板!E155,""))</f>
        <v/>
      </c>
      <c r="K156" s="12" t="str">
        <f>IF(字段输入模板!P155="","",IFERROR(字段输入模板!O155,""))</f>
        <v/>
      </c>
      <c r="L156" s="9" t="str">
        <f>IF(字段输入模板!P155="","",IFERROR(字段输入模板!A155,""))</f>
        <v/>
      </c>
      <c r="M156" s="9" t="str">
        <f>IF(字段输入模板!P155="","",IFERROR(字段输入模板!F155,""))</f>
        <v/>
      </c>
      <c r="N156" s="9" t="str">
        <f>IF(字段输入模板!P155="","",IFERROR(字段输入模板!G155,""))</f>
        <v/>
      </c>
      <c r="O156" s="12" t="str">
        <f>IF(字段输入模板!P155="","",IFERROR(字段输入模板!H155,""))</f>
        <v/>
      </c>
      <c r="P156" s="13" t="str">
        <f>IF(字段输入模板!P155="","",IFERROR(字段输入模板!R155,""))</f>
        <v/>
      </c>
    </row>
    <row r="157" spans="1:16">
      <c r="A157" s="12" t="str">
        <f>IF(字段输入模板!P156="","",IFERROR(字段输入模板!P156,""))</f>
        <v/>
      </c>
      <c r="B157" s="12" t="str">
        <f>IF(字段输入模板!P156="","",IF(字段输入模板!C156="",IFERROR(字段输入模板!B156,""),IFERROR(字段输入模板!C156,"")))</f>
        <v/>
      </c>
      <c r="C157" s="12" t="str">
        <f>IF(字段输入模板!P156="","",IFERROR(字段输入模板!I156,""))</f>
        <v/>
      </c>
      <c r="D157" s="9" t="str">
        <f>IF(字段输入模板!P156="","",IFERROR(字段输入模板!Q156,""))</f>
        <v/>
      </c>
      <c r="E157" s="9" t="str">
        <f>IF(字段输入模板!P156="","",IFERROR(字段输入模板!L156,""))</f>
        <v/>
      </c>
      <c r="F157" s="9" t="str">
        <f>IF(字段输入模板!P156="","",IFERROR(字段输入模板!J156,""))</f>
        <v/>
      </c>
      <c r="G157" s="9" t="str">
        <f>IF(字段输入模板!P156="","",IFERROR(字段输入模板!K156,""))</f>
        <v/>
      </c>
      <c r="H157" s="12" t="str">
        <f>IF(字段输入模板!P156="","",IFERROR(字段输入模板!M156,""))</f>
        <v/>
      </c>
      <c r="I157" s="12" t="str">
        <f>IF(字段输入模板!P156="","",IFERROR(字段输入模板!N156,""))</f>
        <v/>
      </c>
      <c r="J157" s="12" t="str">
        <f>IF(字段输入模板!P156="","",IFERROR(字段输入模板!E156,""))</f>
        <v/>
      </c>
      <c r="K157" s="12" t="str">
        <f>IF(字段输入模板!P156="","",IFERROR(字段输入模板!O156,""))</f>
        <v/>
      </c>
      <c r="L157" s="9" t="str">
        <f>IF(字段输入模板!P156="","",IFERROR(字段输入模板!A156,""))</f>
        <v/>
      </c>
      <c r="M157" s="9" t="str">
        <f>IF(字段输入模板!P156="","",IFERROR(字段输入模板!F156,""))</f>
        <v/>
      </c>
      <c r="N157" s="9" t="str">
        <f>IF(字段输入模板!P156="","",IFERROR(字段输入模板!G156,""))</f>
        <v/>
      </c>
      <c r="O157" s="12" t="str">
        <f>IF(字段输入模板!P156="","",IFERROR(字段输入模板!H156,""))</f>
        <v/>
      </c>
      <c r="P157" s="13" t="str">
        <f>IF(字段输入模板!P156="","",IFERROR(字段输入模板!R156,""))</f>
        <v/>
      </c>
    </row>
    <row r="158" spans="1:16">
      <c r="A158" s="12" t="str">
        <f>IF(字段输入模板!P157="","",IFERROR(字段输入模板!P157,""))</f>
        <v/>
      </c>
      <c r="B158" s="12" t="str">
        <f>IF(字段输入模板!P157="","",IF(字段输入模板!C157="",IFERROR(字段输入模板!B157,""),IFERROR(字段输入模板!C157,"")))</f>
        <v/>
      </c>
      <c r="C158" s="12" t="str">
        <f>IF(字段输入模板!P157="","",IFERROR(字段输入模板!I157,""))</f>
        <v/>
      </c>
      <c r="D158" s="9" t="str">
        <f>IF(字段输入模板!P157="","",IFERROR(字段输入模板!Q157,""))</f>
        <v/>
      </c>
      <c r="E158" s="9" t="str">
        <f>IF(字段输入模板!P157="","",IFERROR(字段输入模板!L157,""))</f>
        <v/>
      </c>
      <c r="F158" s="9" t="str">
        <f>IF(字段输入模板!P157="","",IFERROR(字段输入模板!J157,""))</f>
        <v/>
      </c>
      <c r="G158" s="9" t="str">
        <f>IF(字段输入模板!P157="","",IFERROR(字段输入模板!K157,""))</f>
        <v/>
      </c>
      <c r="H158" s="12" t="str">
        <f>IF(字段输入模板!P157="","",IFERROR(字段输入模板!M157,""))</f>
        <v/>
      </c>
      <c r="I158" s="12" t="str">
        <f>IF(字段输入模板!P157="","",IFERROR(字段输入模板!N157,""))</f>
        <v/>
      </c>
      <c r="J158" s="12" t="str">
        <f>IF(字段输入模板!P157="","",IFERROR(字段输入模板!E157,""))</f>
        <v/>
      </c>
      <c r="K158" s="12" t="str">
        <f>IF(字段输入模板!P157="","",IFERROR(字段输入模板!O157,""))</f>
        <v/>
      </c>
      <c r="L158" s="9" t="str">
        <f>IF(字段输入模板!P157="","",IFERROR(字段输入模板!A157,""))</f>
        <v/>
      </c>
      <c r="M158" s="9" t="str">
        <f>IF(字段输入模板!P157="","",IFERROR(字段输入模板!F157,""))</f>
        <v/>
      </c>
      <c r="N158" s="9" t="str">
        <f>IF(字段输入模板!P157="","",IFERROR(字段输入模板!G157,""))</f>
        <v/>
      </c>
      <c r="O158" s="12" t="str">
        <f>IF(字段输入模板!P157="","",IFERROR(字段输入模板!H157,""))</f>
        <v/>
      </c>
      <c r="P158" s="13" t="str">
        <f>IF(字段输入模板!P157="","",IFERROR(字段输入模板!R157,""))</f>
        <v/>
      </c>
    </row>
    <row r="159" spans="1:16">
      <c r="A159" s="12" t="str">
        <f>IF(字段输入模板!P158="","",IFERROR(字段输入模板!P158,""))</f>
        <v/>
      </c>
      <c r="B159" s="12" t="str">
        <f>IF(字段输入模板!P158="","",IF(字段输入模板!C158="",IFERROR(字段输入模板!B158,""),IFERROR(字段输入模板!C158,"")))</f>
        <v/>
      </c>
      <c r="C159" s="12" t="str">
        <f>IF(字段输入模板!P158="","",IFERROR(字段输入模板!I158,""))</f>
        <v/>
      </c>
      <c r="D159" s="9" t="str">
        <f>IF(字段输入模板!P158="","",IFERROR(字段输入模板!Q158,""))</f>
        <v/>
      </c>
      <c r="E159" s="9" t="str">
        <f>IF(字段输入模板!P158="","",IFERROR(字段输入模板!L158,""))</f>
        <v/>
      </c>
      <c r="F159" s="9" t="str">
        <f>IF(字段输入模板!P158="","",IFERROR(字段输入模板!J158,""))</f>
        <v/>
      </c>
      <c r="G159" s="9" t="str">
        <f>IF(字段输入模板!P158="","",IFERROR(字段输入模板!K158,""))</f>
        <v/>
      </c>
      <c r="H159" s="12" t="str">
        <f>IF(字段输入模板!P158="","",IFERROR(字段输入模板!M158,""))</f>
        <v/>
      </c>
      <c r="I159" s="12" t="str">
        <f>IF(字段输入模板!P158="","",IFERROR(字段输入模板!N158,""))</f>
        <v/>
      </c>
      <c r="J159" s="12" t="str">
        <f>IF(字段输入模板!P158="","",IFERROR(字段输入模板!E158,""))</f>
        <v/>
      </c>
      <c r="K159" s="12" t="str">
        <f>IF(字段输入模板!P158="","",IFERROR(字段输入模板!O158,""))</f>
        <v/>
      </c>
      <c r="L159" s="9" t="str">
        <f>IF(字段输入模板!P158="","",IFERROR(字段输入模板!A158,""))</f>
        <v/>
      </c>
      <c r="M159" s="9" t="str">
        <f>IF(字段输入模板!P158="","",IFERROR(字段输入模板!F158,""))</f>
        <v/>
      </c>
      <c r="N159" s="9" t="str">
        <f>IF(字段输入模板!P158="","",IFERROR(字段输入模板!G158,""))</f>
        <v/>
      </c>
      <c r="O159" s="12" t="str">
        <f>IF(字段输入模板!P158="","",IFERROR(字段输入模板!H158,""))</f>
        <v/>
      </c>
      <c r="P159" s="13" t="str">
        <f>IF(字段输入模板!P158="","",IFERROR(字段输入模板!R158,""))</f>
        <v/>
      </c>
    </row>
    <row r="160" spans="1:16">
      <c r="A160" s="12" t="str">
        <f>IF(字段输入模板!P159="","",IFERROR(字段输入模板!P159,""))</f>
        <v/>
      </c>
      <c r="B160" s="12" t="str">
        <f>IF(字段输入模板!P159="","",IF(字段输入模板!C159="",IFERROR(字段输入模板!B159,""),IFERROR(字段输入模板!C159,"")))</f>
        <v/>
      </c>
      <c r="C160" s="12" t="str">
        <f>IF(字段输入模板!P159="","",IFERROR(字段输入模板!I159,""))</f>
        <v/>
      </c>
      <c r="D160" s="9" t="str">
        <f>IF(字段输入模板!P159="","",IFERROR(字段输入模板!Q159,""))</f>
        <v/>
      </c>
      <c r="E160" s="9" t="str">
        <f>IF(字段输入模板!P159="","",IFERROR(字段输入模板!L159,""))</f>
        <v/>
      </c>
      <c r="F160" s="9" t="str">
        <f>IF(字段输入模板!P159="","",IFERROR(字段输入模板!J159,""))</f>
        <v/>
      </c>
      <c r="G160" s="9" t="str">
        <f>IF(字段输入模板!P159="","",IFERROR(字段输入模板!K159,""))</f>
        <v/>
      </c>
      <c r="H160" s="12" t="str">
        <f>IF(字段输入模板!P159="","",IFERROR(字段输入模板!M159,""))</f>
        <v/>
      </c>
      <c r="I160" s="12" t="str">
        <f>IF(字段输入模板!P159="","",IFERROR(字段输入模板!N159,""))</f>
        <v/>
      </c>
      <c r="J160" s="12" t="str">
        <f>IF(字段输入模板!P159="","",IFERROR(字段输入模板!E159,""))</f>
        <v/>
      </c>
      <c r="K160" s="12" t="str">
        <f>IF(字段输入模板!P159="","",IFERROR(字段输入模板!O159,""))</f>
        <v/>
      </c>
      <c r="L160" s="9" t="str">
        <f>IF(字段输入模板!P159="","",IFERROR(字段输入模板!A159,""))</f>
        <v/>
      </c>
      <c r="M160" s="9" t="str">
        <f>IF(字段输入模板!P159="","",IFERROR(字段输入模板!F159,""))</f>
        <v/>
      </c>
      <c r="N160" s="9" t="str">
        <f>IF(字段输入模板!P159="","",IFERROR(字段输入模板!G159,""))</f>
        <v/>
      </c>
      <c r="O160" s="12" t="str">
        <f>IF(字段输入模板!P159="","",IFERROR(字段输入模板!H159,""))</f>
        <v/>
      </c>
      <c r="P160" s="13" t="str">
        <f>IF(字段输入模板!P159="","",IFERROR(字段输入模板!R159,""))</f>
        <v/>
      </c>
    </row>
    <row r="161" spans="1:16">
      <c r="A161" s="12" t="str">
        <f>IF(字段输入模板!P160="","",IFERROR(字段输入模板!P160,""))</f>
        <v/>
      </c>
      <c r="B161" s="12" t="str">
        <f>IF(字段输入模板!P160="","",IF(字段输入模板!C160="",IFERROR(字段输入模板!B160,""),IFERROR(字段输入模板!C160,"")))</f>
        <v/>
      </c>
      <c r="C161" s="12" t="str">
        <f>IF(字段输入模板!P160="","",IFERROR(字段输入模板!I160,""))</f>
        <v/>
      </c>
      <c r="D161" s="9" t="str">
        <f>IF(字段输入模板!P160="","",IFERROR(字段输入模板!Q160,""))</f>
        <v/>
      </c>
      <c r="E161" s="9" t="str">
        <f>IF(字段输入模板!P160="","",IFERROR(字段输入模板!L160,""))</f>
        <v/>
      </c>
      <c r="F161" s="9" t="str">
        <f>IF(字段输入模板!P160="","",IFERROR(字段输入模板!J160,""))</f>
        <v/>
      </c>
      <c r="G161" s="9" t="str">
        <f>IF(字段输入模板!P160="","",IFERROR(字段输入模板!K160,""))</f>
        <v/>
      </c>
      <c r="H161" s="12" t="str">
        <f>IF(字段输入模板!P160="","",IFERROR(字段输入模板!M160,""))</f>
        <v/>
      </c>
      <c r="I161" s="12" t="str">
        <f>IF(字段输入模板!P160="","",IFERROR(字段输入模板!N160,""))</f>
        <v/>
      </c>
      <c r="J161" s="12" t="str">
        <f>IF(字段输入模板!P160="","",IFERROR(字段输入模板!E160,""))</f>
        <v/>
      </c>
      <c r="K161" s="12" t="str">
        <f>IF(字段输入模板!P160="","",IFERROR(字段输入模板!O160,""))</f>
        <v/>
      </c>
      <c r="L161" s="9" t="str">
        <f>IF(字段输入模板!P160="","",IFERROR(字段输入模板!A160,""))</f>
        <v/>
      </c>
      <c r="M161" s="9" t="str">
        <f>IF(字段输入模板!P160="","",IFERROR(字段输入模板!F160,""))</f>
        <v/>
      </c>
      <c r="N161" s="9" t="str">
        <f>IF(字段输入模板!P160="","",IFERROR(字段输入模板!G160,""))</f>
        <v/>
      </c>
      <c r="O161" s="12" t="str">
        <f>IF(字段输入模板!P160="","",IFERROR(字段输入模板!H160,""))</f>
        <v/>
      </c>
      <c r="P161" s="13" t="str">
        <f>IF(字段输入模板!P160="","",IFERROR(字段输入模板!R160,""))</f>
        <v/>
      </c>
    </row>
    <row r="162" spans="1:16">
      <c r="A162" s="12" t="str">
        <f>IF(字段输入模板!P161="","",IFERROR(字段输入模板!P161,""))</f>
        <v/>
      </c>
      <c r="B162" s="12" t="str">
        <f>IF(字段输入模板!P161="","",IF(字段输入模板!C161="",IFERROR(字段输入模板!B161,""),IFERROR(字段输入模板!C161,"")))</f>
        <v/>
      </c>
      <c r="C162" s="12" t="str">
        <f>IF(字段输入模板!P161="","",IFERROR(字段输入模板!I161,""))</f>
        <v/>
      </c>
      <c r="D162" s="9" t="str">
        <f>IF(字段输入模板!P161="","",IFERROR(字段输入模板!Q161,""))</f>
        <v/>
      </c>
      <c r="E162" s="9" t="str">
        <f>IF(字段输入模板!P161="","",IFERROR(字段输入模板!L161,""))</f>
        <v/>
      </c>
      <c r="F162" s="9" t="str">
        <f>IF(字段输入模板!P161="","",IFERROR(字段输入模板!J161,""))</f>
        <v/>
      </c>
      <c r="G162" s="9" t="str">
        <f>IF(字段输入模板!P161="","",IFERROR(字段输入模板!K161,""))</f>
        <v/>
      </c>
      <c r="H162" s="12" t="str">
        <f>IF(字段输入模板!P161="","",IFERROR(字段输入模板!M161,""))</f>
        <v/>
      </c>
      <c r="I162" s="12" t="str">
        <f>IF(字段输入模板!P161="","",IFERROR(字段输入模板!N161,""))</f>
        <v/>
      </c>
      <c r="J162" s="12" t="str">
        <f>IF(字段输入模板!P161="","",IFERROR(字段输入模板!E161,""))</f>
        <v/>
      </c>
      <c r="K162" s="12" t="str">
        <f>IF(字段输入模板!P161="","",IFERROR(字段输入模板!O161,""))</f>
        <v/>
      </c>
      <c r="L162" s="9" t="str">
        <f>IF(字段输入模板!P161="","",IFERROR(字段输入模板!A161,""))</f>
        <v/>
      </c>
      <c r="M162" s="9" t="str">
        <f>IF(字段输入模板!P161="","",IFERROR(字段输入模板!F161,""))</f>
        <v/>
      </c>
      <c r="N162" s="9" t="str">
        <f>IF(字段输入模板!P161="","",IFERROR(字段输入模板!G161,""))</f>
        <v/>
      </c>
      <c r="O162" s="12" t="str">
        <f>IF(字段输入模板!P161="","",IFERROR(字段输入模板!H161,""))</f>
        <v/>
      </c>
      <c r="P162" s="13" t="str">
        <f>IF(字段输入模板!P161="","",IFERROR(字段输入模板!R161,""))</f>
        <v/>
      </c>
    </row>
    <row r="163" spans="1:16">
      <c r="A163" s="12" t="str">
        <f>IF(字段输入模板!P162="","",IFERROR(字段输入模板!P162,""))</f>
        <v/>
      </c>
      <c r="B163" s="12" t="str">
        <f>IF(字段输入模板!P162="","",IF(字段输入模板!C162="",IFERROR(字段输入模板!B162,""),IFERROR(字段输入模板!C162,"")))</f>
        <v/>
      </c>
      <c r="C163" s="12" t="str">
        <f>IF(字段输入模板!P162="","",IFERROR(字段输入模板!I162,""))</f>
        <v/>
      </c>
      <c r="D163" s="9" t="str">
        <f>IF(字段输入模板!P162="","",IFERROR(字段输入模板!Q162,""))</f>
        <v/>
      </c>
      <c r="E163" s="9" t="str">
        <f>IF(字段输入模板!P162="","",IFERROR(字段输入模板!L162,""))</f>
        <v/>
      </c>
      <c r="F163" s="9" t="str">
        <f>IF(字段输入模板!P162="","",IFERROR(字段输入模板!J162,""))</f>
        <v/>
      </c>
      <c r="G163" s="9" t="str">
        <f>IF(字段输入模板!P162="","",IFERROR(字段输入模板!K162,""))</f>
        <v/>
      </c>
      <c r="H163" s="12" t="str">
        <f>IF(字段输入模板!P162="","",IFERROR(字段输入模板!M162,""))</f>
        <v/>
      </c>
      <c r="I163" s="12" t="str">
        <f>IF(字段输入模板!P162="","",IFERROR(字段输入模板!N162,""))</f>
        <v/>
      </c>
      <c r="J163" s="12" t="str">
        <f>IF(字段输入模板!P162="","",IFERROR(字段输入模板!E162,""))</f>
        <v/>
      </c>
      <c r="K163" s="12" t="str">
        <f>IF(字段输入模板!P162="","",IFERROR(字段输入模板!O162,""))</f>
        <v/>
      </c>
      <c r="L163" s="9" t="str">
        <f>IF(字段输入模板!P162="","",IFERROR(字段输入模板!A162,""))</f>
        <v/>
      </c>
      <c r="M163" s="9" t="str">
        <f>IF(字段输入模板!P162="","",IFERROR(字段输入模板!F162,""))</f>
        <v/>
      </c>
      <c r="N163" s="9" t="str">
        <f>IF(字段输入模板!P162="","",IFERROR(字段输入模板!G162,""))</f>
        <v/>
      </c>
      <c r="O163" s="12" t="str">
        <f>IF(字段输入模板!P162="","",IFERROR(字段输入模板!H162,""))</f>
        <v/>
      </c>
      <c r="P163" s="13" t="str">
        <f>IF(字段输入模板!P162="","",IFERROR(字段输入模板!R162,""))</f>
        <v/>
      </c>
    </row>
    <row r="164" spans="1:16">
      <c r="A164" s="12" t="str">
        <f>IF(字段输入模板!P163="","",IFERROR(字段输入模板!P163,""))</f>
        <v/>
      </c>
      <c r="B164" s="12" t="str">
        <f>IF(字段输入模板!P163="","",IF(字段输入模板!C163="",IFERROR(字段输入模板!B163,""),IFERROR(字段输入模板!C163,"")))</f>
        <v/>
      </c>
      <c r="C164" s="12" t="str">
        <f>IF(字段输入模板!P163="","",IFERROR(字段输入模板!I163,""))</f>
        <v/>
      </c>
      <c r="D164" s="9" t="str">
        <f>IF(字段输入模板!P163="","",IFERROR(字段输入模板!Q163,""))</f>
        <v/>
      </c>
      <c r="E164" s="9" t="str">
        <f>IF(字段输入模板!P163="","",IFERROR(字段输入模板!L163,""))</f>
        <v/>
      </c>
      <c r="F164" s="9" t="str">
        <f>IF(字段输入模板!P163="","",IFERROR(字段输入模板!J163,""))</f>
        <v/>
      </c>
      <c r="G164" s="9" t="str">
        <f>IF(字段输入模板!P163="","",IFERROR(字段输入模板!K163,""))</f>
        <v/>
      </c>
      <c r="H164" s="12" t="str">
        <f>IF(字段输入模板!P163="","",IFERROR(字段输入模板!M163,""))</f>
        <v/>
      </c>
      <c r="I164" s="12" t="str">
        <f>IF(字段输入模板!P163="","",IFERROR(字段输入模板!N163,""))</f>
        <v/>
      </c>
      <c r="J164" s="12" t="str">
        <f>IF(字段输入模板!P163="","",IFERROR(字段输入模板!E163,""))</f>
        <v/>
      </c>
      <c r="K164" s="12" t="str">
        <f>IF(字段输入模板!P163="","",IFERROR(字段输入模板!O163,""))</f>
        <v/>
      </c>
      <c r="L164" s="9" t="str">
        <f>IF(字段输入模板!P163="","",IFERROR(字段输入模板!A163,""))</f>
        <v/>
      </c>
      <c r="M164" s="9" t="str">
        <f>IF(字段输入模板!P163="","",IFERROR(字段输入模板!F163,""))</f>
        <v/>
      </c>
      <c r="N164" s="9" t="str">
        <f>IF(字段输入模板!P163="","",IFERROR(字段输入模板!G163,""))</f>
        <v/>
      </c>
      <c r="O164" s="12" t="str">
        <f>IF(字段输入模板!P163="","",IFERROR(字段输入模板!H163,""))</f>
        <v/>
      </c>
      <c r="P164" s="13" t="str">
        <f>IF(字段输入模板!P163="","",IFERROR(字段输入模板!R163,""))</f>
        <v/>
      </c>
    </row>
    <row r="165" spans="1:16">
      <c r="A165" s="12" t="str">
        <f>IF(字段输入模板!P164="","",IFERROR(字段输入模板!P164,""))</f>
        <v/>
      </c>
      <c r="B165" s="12" t="str">
        <f>IF(字段输入模板!P164="","",IF(字段输入模板!C164="",IFERROR(字段输入模板!B164,""),IFERROR(字段输入模板!C164,"")))</f>
        <v/>
      </c>
      <c r="C165" s="12" t="str">
        <f>IF(字段输入模板!P164="","",IFERROR(字段输入模板!I164,""))</f>
        <v/>
      </c>
      <c r="D165" s="9" t="str">
        <f>IF(字段输入模板!P164="","",IFERROR(字段输入模板!Q164,""))</f>
        <v/>
      </c>
      <c r="E165" s="9" t="str">
        <f>IF(字段输入模板!P164="","",IFERROR(字段输入模板!L164,""))</f>
        <v/>
      </c>
      <c r="F165" s="9" t="str">
        <f>IF(字段输入模板!P164="","",IFERROR(字段输入模板!J164,""))</f>
        <v/>
      </c>
      <c r="G165" s="9" t="str">
        <f>IF(字段输入模板!P164="","",IFERROR(字段输入模板!K164,""))</f>
        <v/>
      </c>
      <c r="H165" s="12" t="str">
        <f>IF(字段输入模板!P164="","",IFERROR(字段输入模板!M164,""))</f>
        <v/>
      </c>
      <c r="I165" s="12" t="str">
        <f>IF(字段输入模板!P164="","",IFERROR(字段输入模板!N164,""))</f>
        <v/>
      </c>
      <c r="J165" s="12" t="str">
        <f>IF(字段输入模板!P164="","",IFERROR(字段输入模板!E164,""))</f>
        <v/>
      </c>
      <c r="K165" s="12" t="str">
        <f>IF(字段输入模板!P164="","",IFERROR(字段输入模板!O164,""))</f>
        <v/>
      </c>
      <c r="L165" s="9" t="str">
        <f>IF(字段输入模板!P164="","",IFERROR(字段输入模板!A164,""))</f>
        <v/>
      </c>
      <c r="M165" s="9" t="str">
        <f>IF(字段输入模板!P164="","",IFERROR(字段输入模板!F164,""))</f>
        <v/>
      </c>
      <c r="N165" s="9" t="str">
        <f>IF(字段输入模板!P164="","",IFERROR(字段输入模板!G164,""))</f>
        <v/>
      </c>
      <c r="O165" s="12" t="str">
        <f>IF(字段输入模板!P164="","",IFERROR(字段输入模板!H164,""))</f>
        <v/>
      </c>
      <c r="P165" s="13" t="str">
        <f>IF(字段输入模板!P164="","",IFERROR(字段输入模板!R164,""))</f>
        <v/>
      </c>
    </row>
    <row r="166" spans="1:16">
      <c r="A166" s="12" t="str">
        <f>IF(字段输入模板!P165="","",IFERROR(字段输入模板!P165,""))</f>
        <v/>
      </c>
      <c r="B166" s="12" t="str">
        <f>IF(字段输入模板!P165="","",IF(字段输入模板!C165="",IFERROR(字段输入模板!B165,""),IFERROR(字段输入模板!C165,"")))</f>
        <v/>
      </c>
      <c r="C166" s="12" t="str">
        <f>IF(字段输入模板!P165="","",IFERROR(字段输入模板!I165,""))</f>
        <v/>
      </c>
      <c r="D166" s="9" t="str">
        <f>IF(字段输入模板!P165="","",IFERROR(字段输入模板!Q165,""))</f>
        <v/>
      </c>
      <c r="E166" s="9" t="str">
        <f>IF(字段输入模板!P165="","",IFERROR(字段输入模板!L165,""))</f>
        <v/>
      </c>
      <c r="F166" s="9" t="str">
        <f>IF(字段输入模板!P165="","",IFERROR(字段输入模板!J165,""))</f>
        <v/>
      </c>
      <c r="G166" s="9" t="str">
        <f>IF(字段输入模板!P165="","",IFERROR(字段输入模板!K165,""))</f>
        <v/>
      </c>
      <c r="H166" s="12" t="str">
        <f>IF(字段输入模板!P165="","",IFERROR(字段输入模板!M165,""))</f>
        <v/>
      </c>
      <c r="I166" s="12" t="str">
        <f>IF(字段输入模板!P165="","",IFERROR(字段输入模板!N165,""))</f>
        <v/>
      </c>
      <c r="J166" s="12" t="str">
        <f>IF(字段输入模板!P165="","",IFERROR(字段输入模板!E165,""))</f>
        <v/>
      </c>
      <c r="K166" s="12" t="str">
        <f>IF(字段输入模板!P165="","",IFERROR(字段输入模板!O165,""))</f>
        <v/>
      </c>
      <c r="L166" s="9" t="str">
        <f>IF(字段输入模板!P165="","",IFERROR(字段输入模板!A165,""))</f>
        <v/>
      </c>
      <c r="M166" s="9" t="str">
        <f>IF(字段输入模板!P165="","",IFERROR(字段输入模板!F165,""))</f>
        <v/>
      </c>
      <c r="N166" s="9" t="str">
        <f>IF(字段输入模板!P165="","",IFERROR(字段输入模板!G165,""))</f>
        <v/>
      </c>
      <c r="O166" s="12" t="str">
        <f>IF(字段输入模板!P165="","",IFERROR(字段输入模板!H165,""))</f>
        <v/>
      </c>
      <c r="P166" s="13" t="str">
        <f>IF(字段输入模板!P165="","",IFERROR(字段输入模板!R165,""))</f>
        <v/>
      </c>
    </row>
    <row r="167" spans="1:16">
      <c r="A167" s="12" t="str">
        <f>IF(字段输入模板!P166="","",IFERROR(字段输入模板!P166,""))</f>
        <v/>
      </c>
      <c r="B167" s="12" t="str">
        <f>IF(字段输入模板!P166="","",IF(字段输入模板!C166="",IFERROR(字段输入模板!B166,""),IFERROR(字段输入模板!C166,"")))</f>
        <v/>
      </c>
      <c r="C167" s="12" t="str">
        <f>IF(字段输入模板!P166="","",IFERROR(字段输入模板!I166,""))</f>
        <v/>
      </c>
      <c r="D167" s="9" t="str">
        <f>IF(字段输入模板!P166="","",IFERROR(字段输入模板!Q166,""))</f>
        <v/>
      </c>
      <c r="E167" s="9" t="str">
        <f>IF(字段输入模板!P166="","",IFERROR(字段输入模板!L166,""))</f>
        <v/>
      </c>
      <c r="F167" s="9" t="str">
        <f>IF(字段输入模板!P166="","",IFERROR(字段输入模板!J166,""))</f>
        <v/>
      </c>
      <c r="G167" s="9" t="str">
        <f>IF(字段输入模板!P166="","",IFERROR(字段输入模板!K166,""))</f>
        <v/>
      </c>
      <c r="H167" s="12" t="str">
        <f>IF(字段输入模板!P166="","",IFERROR(字段输入模板!M166,""))</f>
        <v/>
      </c>
      <c r="I167" s="12" t="str">
        <f>IF(字段输入模板!P166="","",IFERROR(字段输入模板!N166,""))</f>
        <v/>
      </c>
      <c r="J167" s="12" t="str">
        <f>IF(字段输入模板!P166="","",IFERROR(字段输入模板!E166,""))</f>
        <v/>
      </c>
      <c r="K167" s="12" t="str">
        <f>IF(字段输入模板!P166="","",IFERROR(字段输入模板!O166,""))</f>
        <v/>
      </c>
      <c r="L167" s="9" t="str">
        <f>IF(字段输入模板!P166="","",IFERROR(字段输入模板!A166,""))</f>
        <v/>
      </c>
      <c r="M167" s="9" t="str">
        <f>IF(字段输入模板!P166="","",IFERROR(字段输入模板!F166,""))</f>
        <v/>
      </c>
      <c r="N167" s="9" t="str">
        <f>IF(字段输入模板!P166="","",IFERROR(字段输入模板!G166,""))</f>
        <v/>
      </c>
      <c r="O167" s="12" t="str">
        <f>IF(字段输入模板!P166="","",IFERROR(字段输入模板!H166,""))</f>
        <v/>
      </c>
      <c r="P167" s="13" t="str">
        <f>IF(字段输入模板!P166="","",IFERROR(字段输入模板!R166,""))</f>
        <v/>
      </c>
    </row>
    <row r="168" spans="1:16">
      <c r="A168" s="12" t="str">
        <f>IF(字段输入模板!P167="","",IFERROR(字段输入模板!P167,""))</f>
        <v/>
      </c>
      <c r="B168" s="12" t="str">
        <f>IF(字段输入模板!P167="","",IF(字段输入模板!C167="",IFERROR(字段输入模板!B167,""),IFERROR(字段输入模板!C167,"")))</f>
        <v/>
      </c>
      <c r="C168" s="12" t="str">
        <f>IF(字段输入模板!P167="","",IFERROR(字段输入模板!I167,""))</f>
        <v/>
      </c>
      <c r="D168" s="9" t="str">
        <f>IF(字段输入模板!P167="","",IFERROR(字段输入模板!Q167,""))</f>
        <v/>
      </c>
      <c r="E168" s="9" t="str">
        <f>IF(字段输入模板!P167="","",IFERROR(字段输入模板!L167,""))</f>
        <v/>
      </c>
      <c r="F168" s="9" t="str">
        <f>IF(字段输入模板!P167="","",IFERROR(字段输入模板!J167,""))</f>
        <v/>
      </c>
      <c r="G168" s="9" t="str">
        <f>IF(字段输入模板!P167="","",IFERROR(字段输入模板!K167,""))</f>
        <v/>
      </c>
      <c r="H168" s="12" t="str">
        <f>IF(字段输入模板!P167="","",IFERROR(字段输入模板!M167,""))</f>
        <v/>
      </c>
      <c r="I168" s="12" t="str">
        <f>IF(字段输入模板!P167="","",IFERROR(字段输入模板!N167,""))</f>
        <v/>
      </c>
      <c r="J168" s="12" t="str">
        <f>IF(字段输入模板!P167="","",IFERROR(字段输入模板!E167,""))</f>
        <v/>
      </c>
      <c r="K168" s="12" t="str">
        <f>IF(字段输入模板!P167="","",IFERROR(字段输入模板!O167,""))</f>
        <v/>
      </c>
      <c r="L168" s="9" t="str">
        <f>IF(字段输入模板!P167="","",IFERROR(字段输入模板!A167,""))</f>
        <v/>
      </c>
      <c r="M168" s="9" t="str">
        <f>IF(字段输入模板!P167="","",IFERROR(字段输入模板!F167,""))</f>
        <v/>
      </c>
      <c r="N168" s="9" t="str">
        <f>IF(字段输入模板!P167="","",IFERROR(字段输入模板!G167,""))</f>
        <v/>
      </c>
      <c r="O168" s="12" t="str">
        <f>IF(字段输入模板!P167="","",IFERROR(字段输入模板!H167,""))</f>
        <v/>
      </c>
      <c r="P168" s="13" t="str">
        <f>IF(字段输入模板!P167="","",IFERROR(字段输入模板!R167,""))</f>
        <v/>
      </c>
    </row>
    <row r="169" spans="1:16">
      <c r="A169" s="12" t="str">
        <f>IF(字段输入模板!P168="","",IFERROR(字段输入模板!P168,""))</f>
        <v/>
      </c>
      <c r="B169" s="12" t="str">
        <f>IF(字段输入模板!P168="","",IF(字段输入模板!C168="",IFERROR(字段输入模板!B168,""),IFERROR(字段输入模板!C168,"")))</f>
        <v/>
      </c>
      <c r="C169" s="12" t="str">
        <f>IF(字段输入模板!P168="","",IFERROR(字段输入模板!I168,""))</f>
        <v/>
      </c>
      <c r="D169" s="9" t="str">
        <f>IF(字段输入模板!P168="","",IFERROR(字段输入模板!Q168,""))</f>
        <v/>
      </c>
      <c r="E169" s="9" t="str">
        <f>IF(字段输入模板!P168="","",IFERROR(字段输入模板!L168,""))</f>
        <v/>
      </c>
      <c r="F169" s="9" t="str">
        <f>IF(字段输入模板!P168="","",IFERROR(字段输入模板!J168,""))</f>
        <v/>
      </c>
      <c r="G169" s="9" t="str">
        <f>IF(字段输入模板!P168="","",IFERROR(字段输入模板!K168,""))</f>
        <v/>
      </c>
      <c r="H169" s="12" t="str">
        <f>IF(字段输入模板!P168="","",IFERROR(字段输入模板!M168,""))</f>
        <v/>
      </c>
      <c r="I169" s="12" t="str">
        <f>IF(字段输入模板!P168="","",IFERROR(字段输入模板!N168,""))</f>
        <v/>
      </c>
      <c r="J169" s="12" t="str">
        <f>IF(字段输入模板!P168="","",IFERROR(字段输入模板!E168,""))</f>
        <v/>
      </c>
      <c r="K169" s="12" t="str">
        <f>IF(字段输入模板!P168="","",IFERROR(字段输入模板!O168,""))</f>
        <v/>
      </c>
      <c r="L169" s="9" t="str">
        <f>IF(字段输入模板!P168="","",IFERROR(字段输入模板!A168,""))</f>
        <v/>
      </c>
      <c r="M169" s="9" t="str">
        <f>IF(字段输入模板!P168="","",IFERROR(字段输入模板!F168,""))</f>
        <v/>
      </c>
      <c r="N169" s="9" t="str">
        <f>IF(字段输入模板!P168="","",IFERROR(字段输入模板!G168,""))</f>
        <v/>
      </c>
      <c r="O169" s="12" t="str">
        <f>IF(字段输入模板!P168="","",IFERROR(字段输入模板!H168,""))</f>
        <v/>
      </c>
      <c r="P169" s="13" t="str">
        <f>IF(字段输入模板!P168="","",IFERROR(字段输入模板!R168,""))</f>
        <v/>
      </c>
    </row>
    <row r="170" spans="1:16">
      <c r="A170" s="12" t="str">
        <f>IF(字段输入模板!P169="","",IFERROR(字段输入模板!P169,""))</f>
        <v/>
      </c>
      <c r="B170" s="12" t="str">
        <f>IF(字段输入模板!P169="","",IF(字段输入模板!C169="",IFERROR(字段输入模板!B169,""),IFERROR(字段输入模板!C169,"")))</f>
        <v/>
      </c>
      <c r="C170" s="12" t="str">
        <f>IF(字段输入模板!P169="","",IFERROR(字段输入模板!I169,""))</f>
        <v/>
      </c>
      <c r="D170" s="9" t="str">
        <f>IF(字段输入模板!P169="","",IFERROR(字段输入模板!Q169,""))</f>
        <v/>
      </c>
      <c r="E170" s="9" t="str">
        <f>IF(字段输入模板!P169="","",IFERROR(字段输入模板!L169,""))</f>
        <v/>
      </c>
      <c r="F170" s="9" t="str">
        <f>IF(字段输入模板!P169="","",IFERROR(字段输入模板!J169,""))</f>
        <v/>
      </c>
      <c r="G170" s="9" t="str">
        <f>IF(字段输入模板!P169="","",IFERROR(字段输入模板!K169,""))</f>
        <v/>
      </c>
      <c r="H170" s="12" t="str">
        <f>IF(字段输入模板!P169="","",IFERROR(字段输入模板!M169,""))</f>
        <v/>
      </c>
      <c r="I170" s="12" t="str">
        <f>IF(字段输入模板!P169="","",IFERROR(字段输入模板!N169,""))</f>
        <v/>
      </c>
      <c r="J170" s="12" t="str">
        <f>IF(字段输入模板!P169="","",IFERROR(字段输入模板!E169,""))</f>
        <v/>
      </c>
      <c r="K170" s="12" t="str">
        <f>IF(字段输入模板!P169="","",IFERROR(字段输入模板!O169,""))</f>
        <v/>
      </c>
      <c r="L170" s="9" t="str">
        <f>IF(字段输入模板!P169="","",IFERROR(字段输入模板!A169,""))</f>
        <v/>
      </c>
      <c r="M170" s="9" t="str">
        <f>IF(字段输入模板!P169="","",IFERROR(字段输入模板!F169,""))</f>
        <v/>
      </c>
      <c r="N170" s="9" t="str">
        <f>IF(字段输入模板!P169="","",IFERROR(字段输入模板!G169,""))</f>
        <v/>
      </c>
      <c r="O170" s="12" t="str">
        <f>IF(字段输入模板!P169="","",IFERROR(字段输入模板!H169,""))</f>
        <v/>
      </c>
      <c r="P170" s="13" t="str">
        <f>IF(字段输入模板!P169="","",IFERROR(字段输入模板!R169,""))</f>
        <v/>
      </c>
    </row>
    <row r="171" spans="1:16">
      <c r="A171" s="12" t="str">
        <f>IF(字段输入模板!P170="","",IFERROR(字段输入模板!P170,""))</f>
        <v/>
      </c>
      <c r="B171" s="12" t="str">
        <f>IF(字段输入模板!P170="","",IF(字段输入模板!C170="",IFERROR(字段输入模板!B170,""),IFERROR(字段输入模板!C170,"")))</f>
        <v/>
      </c>
      <c r="C171" s="12" t="str">
        <f>IF(字段输入模板!P170="","",IFERROR(字段输入模板!I170,""))</f>
        <v/>
      </c>
      <c r="D171" s="9" t="str">
        <f>IF(字段输入模板!P170="","",IFERROR(字段输入模板!Q170,""))</f>
        <v/>
      </c>
      <c r="E171" s="9" t="str">
        <f>IF(字段输入模板!P170="","",IFERROR(字段输入模板!L170,""))</f>
        <v/>
      </c>
      <c r="F171" s="9" t="str">
        <f>IF(字段输入模板!P170="","",IFERROR(字段输入模板!J170,""))</f>
        <v/>
      </c>
      <c r="G171" s="9" t="str">
        <f>IF(字段输入模板!P170="","",IFERROR(字段输入模板!K170,""))</f>
        <v/>
      </c>
      <c r="H171" s="12" t="str">
        <f>IF(字段输入模板!P170="","",IFERROR(字段输入模板!M170,""))</f>
        <v/>
      </c>
      <c r="I171" s="12" t="str">
        <f>IF(字段输入模板!P170="","",IFERROR(字段输入模板!N170,""))</f>
        <v/>
      </c>
      <c r="J171" s="12" t="str">
        <f>IF(字段输入模板!P170="","",IFERROR(字段输入模板!E170,""))</f>
        <v/>
      </c>
      <c r="K171" s="12" t="str">
        <f>IF(字段输入模板!P170="","",IFERROR(字段输入模板!O170,""))</f>
        <v/>
      </c>
      <c r="L171" s="9" t="str">
        <f>IF(字段输入模板!P170="","",IFERROR(字段输入模板!A170,""))</f>
        <v/>
      </c>
      <c r="M171" s="9" t="str">
        <f>IF(字段输入模板!P170="","",IFERROR(字段输入模板!F170,""))</f>
        <v/>
      </c>
      <c r="N171" s="9" t="str">
        <f>IF(字段输入模板!P170="","",IFERROR(字段输入模板!G170,""))</f>
        <v/>
      </c>
      <c r="O171" s="12" t="str">
        <f>IF(字段输入模板!P170="","",IFERROR(字段输入模板!H170,""))</f>
        <v/>
      </c>
      <c r="P171" s="13" t="str">
        <f>IF(字段输入模板!P170="","",IFERROR(字段输入模板!R170,""))</f>
        <v/>
      </c>
    </row>
    <row r="172" spans="1:16">
      <c r="A172" s="12" t="str">
        <f>IF(字段输入模板!P171="","",IFERROR(字段输入模板!P171,""))</f>
        <v/>
      </c>
      <c r="B172" s="12" t="str">
        <f>IF(字段输入模板!P171="","",IF(字段输入模板!C171="",IFERROR(字段输入模板!B171,""),IFERROR(字段输入模板!C171,"")))</f>
        <v/>
      </c>
      <c r="C172" s="12" t="str">
        <f>IF(字段输入模板!P171="","",IFERROR(字段输入模板!I171,""))</f>
        <v/>
      </c>
      <c r="D172" s="9" t="str">
        <f>IF(字段输入模板!P171="","",IFERROR(字段输入模板!Q171,""))</f>
        <v/>
      </c>
      <c r="E172" s="9" t="str">
        <f>IF(字段输入模板!P171="","",IFERROR(字段输入模板!L171,""))</f>
        <v/>
      </c>
      <c r="F172" s="9" t="str">
        <f>IF(字段输入模板!P171="","",IFERROR(字段输入模板!J171,""))</f>
        <v/>
      </c>
      <c r="G172" s="9" t="str">
        <f>IF(字段输入模板!P171="","",IFERROR(字段输入模板!K171,""))</f>
        <v/>
      </c>
      <c r="H172" s="12" t="str">
        <f>IF(字段输入模板!P171="","",IFERROR(字段输入模板!M171,""))</f>
        <v/>
      </c>
      <c r="I172" s="12" t="str">
        <f>IF(字段输入模板!P171="","",IFERROR(字段输入模板!N171,""))</f>
        <v/>
      </c>
      <c r="J172" s="12" t="str">
        <f>IF(字段输入模板!P171="","",IFERROR(字段输入模板!E171,""))</f>
        <v/>
      </c>
      <c r="K172" s="12" t="str">
        <f>IF(字段输入模板!P171="","",IFERROR(字段输入模板!O171,""))</f>
        <v/>
      </c>
      <c r="L172" s="9" t="str">
        <f>IF(字段输入模板!P171="","",IFERROR(字段输入模板!A171,""))</f>
        <v/>
      </c>
      <c r="M172" s="9" t="str">
        <f>IF(字段输入模板!P171="","",IFERROR(字段输入模板!F171,""))</f>
        <v/>
      </c>
      <c r="N172" s="9" t="str">
        <f>IF(字段输入模板!P171="","",IFERROR(字段输入模板!G171,""))</f>
        <v/>
      </c>
      <c r="O172" s="12" t="str">
        <f>IF(字段输入模板!P171="","",IFERROR(字段输入模板!H171,""))</f>
        <v/>
      </c>
      <c r="P172" s="13" t="str">
        <f>IF(字段输入模板!P171="","",IFERROR(字段输入模板!R171,""))</f>
        <v/>
      </c>
    </row>
    <row r="173" spans="1:16">
      <c r="A173" s="12" t="str">
        <f>IF(字段输入模板!P172="","",IFERROR(字段输入模板!P172,""))</f>
        <v/>
      </c>
      <c r="B173" s="12" t="str">
        <f>IF(字段输入模板!P172="","",IF(字段输入模板!C172="",IFERROR(字段输入模板!B172,""),IFERROR(字段输入模板!C172,"")))</f>
        <v/>
      </c>
      <c r="C173" s="12" t="str">
        <f>IF(字段输入模板!P172="","",IFERROR(字段输入模板!I172,""))</f>
        <v/>
      </c>
      <c r="D173" s="9" t="str">
        <f>IF(字段输入模板!P172="","",IFERROR(字段输入模板!Q172,""))</f>
        <v/>
      </c>
      <c r="E173" s="9" t="str">
        <f>IF(字段输入模板!P172="","",IFERROR(字段输入模板!L172,""))</f>
        <v/>
      </c>
      <c r="F173" s="9" t="str">
        <f>IF(字段输入模板!P172="","",IFERROR(字段输入模板!J172,""))</f>
        <v/>
      </c>
      <c r="G173" s="9" t="str">
        <f>IF(字段输入模板!P172="","",IFERROR(字段输入模板!K172,""))</f>
        <v/>
      </c>
      <c r="H173" s="12" t="str">
        <f>IF(字段输入模板!P172="","",IFERROR(字段输入模板!M172,""))</f>
        <v/>
      </c>
      <c r="I173" s="12" t="str">
        <f>IF(字段输入模板!P172="","",IFERROR(字段输入模板!N172,""))</f>
        <v/>
      </c>
      <c r="J173" s="12" t="str">
        <f>IF(字段输入模板!P172="","",IFERROR(字段输入模板!E172,""))</f>
        <v/>
      </c>
      <c r="K173" s="12" t="str">
        <f>IF(字段输入模板!P172="","",IFERROR(字段输入模板!O172,""))</f>
        <v/>
      </c>
      <c r="L173" s="9" t="str">
        <f>IF(字段输入模板!P172="","",IFERROR(字段输入模板!A172,""))</f>
        <v/>
      </c>
      <c r="M173" s="9" t="str">
        <f>IF(字段输入模板!P172="","",IFERROR(字段输入模板!F172,""))</f>
        <v/>
      </c>
      <c r="N173" s="9" t="str">
        <f>IF(字段输入模板!P172="","",IFERROR(字段输入模板!G172,""))</f>
        <v/>
      </c>
      <c r="O173" s="12" t="str">
        <f>IF(字段输入模板!P172="","",IFERROR(字段输入模板!H172,""))</f>
        <v/>
      </c>
      <c r="P173" s="13" t="str">
        <f>IF(字段输入模板!P172="","",IFERROR(字段输入模板!R172,""))</f>
        <v/>
      </c>
    </row>
    <row r="174" spans="1:16">
      <c r="A174" s="12" t="str">
        <f>IF(字段输入模板!P173="","",IFERROR(字段输入模板!P173,""))</f>
        <v/>
      </c>
      <c r="B174" s="12" t="str">
        <f>IF(字段输入模板!P173="","",IF(字段输入模板!C173="",IFERROR(字段输入模板!B173,""),IFERROR(字段输入模板!C173,"")))</f>
        <v/>
      </c>
      <c r="C174" s="12" t="str">
        <f>IF(字段输入模板!P173="","",IFERROR(字段输入模板!I173,""))</f>
        <v/>
      </c>
      <c r="D174" s="9" t="str">
        <f>IF(字段输入模板!P173="","",IFERROR(字段输入模板!Q173,""))</f>
        <v/>
      </c>
      <c r="E174" s="9" t="str">
        <f>IF(字段输入模板!P173="","",IFERROR(字段输入模板!L173,""))</f>
        <v/>
      </c>
      <c r="F174" s="9" t="str">
        <f>IF(字段输入模板!P173="","",IFERROR(字段输入模板!J173,""))</f>
        <v/>
      </c>
      <c r="G174" s="9" t="str">
        <f>IF(字段输入模板!P173="","",IFERROR(字段输入模板!K173,""))</f>
        <v/>
      </c>
      <c r="H174" s="12" t="str">
        <f>IF(字段输入模板!P173="","",IFERROR(字段输入模板!M173,""))</f>
        <v/>
      </c>
      <c r="I174" s="12" t="str">
        <f>IF(字段输入模板!P173="","",IFERROR(字段输入模板!N173,""))</f>
        <v/>
      </c>
      <c r="J174" s="12" t="str">
        <f>IF(字段输入模板!P173="","",IFERROR(字段输入模板!E173,""))</f>
        <v/>
      </c>
      <c r="K174" s="12" t="str">
        <f>IF(字段输入模板!P173="","",IFERROR(字段输入模板!O173,""))</f>
        <v/>
      </c>
      <c r="L174" s="9" t="str">
        <f>IF(字段输入模板!P173="","",IFERROR(字段输入模板!A173,""))</f>
        <v/>
      </c>
      <c r="M174" s="9" t="str">
        <f>IF(字段输入模板!P173="","",IFERROR(字段输入模板!F173,""))</f>
        <v/>
      </c>
      <c r="N174" s="9" t="str">
        <f>IF(字段输入模板!P173="","",IFERROR(字段输入模板!G173,""))</f>
        <v/>
      </c>
      <c r="O174" s="12" t="str">
        <f>IF(字段输入模板!P173="","",IFERROR(字段输入模板!H173,""))</f>
        <v/>
      </c>
      <c r="P174" s="13" t="str">
        <f>IF(字段输入模板!P173="","",IFERROR(字段输入模板!R173,""))</f>
        <v/>
      </c>
    </row>
    <row r="175" spans="1:16">
      <c r="A175" s="12" t="str">
        <f>IF(字段输入模板!P174="","",IFERROR(字段输入模板!P174,""))</f>
        <v/>
      </c>
      <c r="B175" s="12" t="str">
        <f>IF(字段输入模板!P174="","",IF(字段输入模板!C174="",IFERROR(字段输入模板!B174,""),IFERROR(字段输入模板!C174,"")))</f>
        <v/>
      </c>
      <c r="C175" s="12" t="str">
        <f>IF(字段输入模板!P174="","",IFERROR(字段输入模板!I174,""))</f>
        <v/>
      </c>
      <c r="D175" s="9" t="str">
        <f>IF(字段输入模板!P174="","",IFERROR(字段输入模板!Q174,""))</f>
        <v/>
      </c>
      <c r="E175" s="9" t="str">
        <f>IF(字段输入模板!P174="","",IFERROR(字段输入模板!L174,""))</f>
        <v/>
      </c>
      <c r="F175" s="9" t="str">
        <f>IF(字段输入模板!P174="","",IFERROR(字段输入模板!J174,""))</f>
        <v/>
      </c>
      <c r="G175" s="9" t="str">
        <f>IF(字段输入模板!P174="","",IFERROR(字段输入模板!K174,""))</f>
        <v/>
      </c>
      <c r="H175" s="12" t="str">
        <f>IF(字段输入模板!P174="","",IFERROR(字段输入模板!M174,""))</f>
        <v/>
      </c>
      <c r="I175" s="12" t="str">
        <f>IF(字段输入模板!P174="","",IFERROR(字段输入模板!N174,""))</f>
        <v/>
      </c>
      <c r="J175" s="12" t="str">
        <f>IF(字段输入模板!P174="","",IFERROR(字段输入模板!E174,""))</f>
        <v/>
      </c>
      <c r="K175" s="12" t="str">
        <f>IF(字段输入模板!P174="","",IFERROR(字段输入模板!O174,""))</f>
        <v/>
      </c>
      <c r="L175" s="9" t="str">
        <f>IF(字段输入模板!P174="","",IFERROR(字段输入模板!A174,""))</f>
        <v/>
      </c>
      <c r="M175" s="9" t="str">
        <f>IF(字段输入模板!P174="","",IFERROR(字段输入模板!F174,""))</f>
        <v/>
      </c>
      <c r="N175" s="9" t="str">
        <f>IF(字段输入模板!P174="","",IFERROR(字段输入模板!G174,""))</f>
        <v/>
      </c>
      <c r="O175" s="12" t="str">
        <f>IF(字段输入模板!P174="","",IFERROR(字段输入模板!H174,""))</f>
        <v/>
      </c>
      <c r="P175" s="13" t="str">
        <f>IF(字段输入模板!P174="","",IFERROR(字段输入模板!R174,""))</f>
        <v/>
      </c>
    </row>
    <row r="176" spans="1:16">
      <c r="A176" s="12" t="str">
        <f>IF(字段输入模板!P175="","",IFERROR(字段输入模板!P175,""))</f>
        <v/>
      </c>
      <c r="B176" s="12" t="str">
        <f>IF(字段输入模板!P175="","",IF(字段输入模板!C175="",IFERROR(字段输入模板!B175,""),IFERROR(字段输入模板!C175,"")))</f>
        <v/>
      </c>
      <c r="C176" s="12" t="str">
        <f>IF(字段输入模板!P175="","",IFERROR(字段输入模板!I175,""))</f>
        <v/>
      </c>
      <c r="D176" s="9" t="str">
        <f>IF(字段输入模板!P175="","",IFERROR(字段输入模板!Q175,""))</f>
        <v/>
      </c>
      <c r="E176" s="9" t="str">
        <f>IF(字段输入模板!P175="","",IFERROR(字段输入模板!L175,""))</f>
        <v/>
      </c>
      <c r="F176" s="9" t="str">
        <f>IF(字段输入模板!P175="","",IFERROR(字段输入模板!J175,""))</f>
        <v/>
      </c>
      <c r="G176" s="9" t="str">
        <f>IF(字段输入模板!P175="","",IFERROR(字段输入模板!K175,""))</f>
        <v/>
      </c>
      <c r="H176" s="12" t="str">
        <f>IF(字段输入模板!P175="","",IFERROR(字段输入模板!M175,""))</f>
        <v/>
      </c>
      <c r="I176" s="12" t="str">
        <f>IF(字段输入模板!P175="","",IFERROR(字段输入模板!N175,""))</f>
        <v/>
      </c>
      <c r="J176" s="12" t="str">
        <f>IF(字段输入模板!P175="","",IFERROR(字段输入模板!E175,""))</f>
        <v/>
      </c>
      <c r="K176" s="12" t="str">
        <f>IF(字段输入模板!P175="","",IFERROR(字段输入模板!O175,""))</f>
        <v/>
      </c>
      <c r="L176" s="9" t="str">
        <f>IF(字段输入模板!P175="","",IFERROR(字段输入模板!A175,""))</f>
        <v/>
      </c>
      <c r="M176" s="9" t="str">
        <f>IF(字段输入模板!P175="","",IFERROR(字段输入模板!F175,""))</f>
        <v/>
      </c>
      <c r="N176" s="9" t="str">
        <f>IF(字段输入模板!P175="","",IFERROR(字段输入模板!G175,""))</f>
        <v/>
      </c>
      <c r="O176" s="12" t="str">
        <f>IF(字段输入模板!P175="","",IFERROR(字段输入模板!H175,""))</f>
        <v/>
      </c>
      <c r="P176" s="13" t="str">
        <f>IF(字段输入模板!P175="","",IFERROR(字段输入模板!R175,""))</f>
        <v/>
      </c>
    </row>
    <row r="177" spans="1:16">
      <c r="A177" s="12" t="str">
        <f>IF(字段输入模板!P176="","",IFERROR(字段输入模板!P176,""))</f>
        <v/>
      </c>
      <c r="B177" s="12" t="str">
        <f>IF(字段输入模板!P176="","",IF(字段输入模板!C176="",IFERROR(字段输入模板!B176,""),IFERROR(字段输入模板!C176,"")))</f>
        <v/>
      </c>
      <c r="C177" s="12" t="str">
        <f>IF(字段输入模板!P176="","",IFERROR(字段输入模板!I176,""))</f>
        <v/>
      </c>
      <c r="D177" s="9" t="str">
        <f>IF(字段输入模板!P176="","",IFERROR(字段输入模板!Q176,""))</f>
        <v/>
      </c>
      <c r="E177" s="9" t="str">
        <f>IF(字段输入模板!P176="","",IFERROR(字段输入模板!L176,""))</f>
        <v/>
      </c>
      <c r="F177" s="9" t="str">
        <f>IF(字段输入模板!P176="","",IFERROR(字段输入模板!J176,""))</f>
        <v/>
      </c>
      <c r="G177" s="9" t="str">
        <f>IF(字段输入模板!P176="","",IFERROR(字段输入模板!K176,""))</f>
        <v/>
      </c>
      <c r="H177" s="12" t="str">
        <f>IF(字段输入模板!P176="","",IFERROR(字段输入模板!M176,""))</f>
        <v/>
      </c>
      <c r="I177" s="12" t="str">
        <f>IF(字段输入模板!P176="","",IFERROR(字段输入模板!N176,""))</f>
        <v/>
      </c>
      <c r="J177" s="12" t="str">
        <f>IF(字段输入模板!P176="","",IFERROR(字段输入模板!E176,""))</f>
        <v/>
      </c>
      <c r="K177" s="12" t="str">
        <f>IF(字段输入模板!P176="","",IFERROR(字段输入模板!O176,""))</f>
        <v/>
      </c>
      <c r="L177" s="9" t="str">
        <f>IF(字段输入模板!P176="","",IFERROR(字段输入模板!A176,""))</f>
        <v/>
      </c>
      <c r="M177" s="9" t="str">
        <f>IF(字段输入模板!P176="","",IFERROR(字段输入模板!F176,""))</f>
        <v/>
      </c>
      <c r="N177" s="9" t="str">
        <f>IF(字段输入模板!P176="","",IFERROR(字段输入模板!G176,""))</f>
        <v/>
      </c>
      <c r="O177" s="12" t="str">
        <f>IF(字段输入模板!P176="","",IFERROR(字段输入模板!H176,""))</f>
        <v/>
      </c>
      <c r="P177" s="13" t="str">
        <f>IF(字段输入模板!P176="","",IFERROR(字段输入模板!R176,""))</f>
        <v/>
      </c>
    </row>
    <row r="178" spans="1:16">
      <c r="A178" s="12" t="str">
        <f>IF(字段输入模板!P177="","",IFERROR(字段输入模板!P177,""))</f>
        <v/>
      </c>
      <c r="B178" s="12" t="str">
        <f>IF(字段输入模板!P177="","",IF(字段输入模板!C177="",IFERROR(字段输入模板!B177,""),IFERROR(字段输入模板!C177,"")))</f>
        <v/>
      </c>
      <c r="C178" s="12" t="str">
        <f>IF(字段输入模板!P177="","",IFERROR(字段输入模板!I177,""))</f>
        <v/>
      </c>
      <c r="D178" s="9" t="str">
        <f>IF(字段输入模板!P177="","",IFERROR(字段输入模板!Q177,""))</f>
        <v/>
      </c>
      <c r="E178" s="9" t="str">
        <f>IF(字段输入模板!P177="","",IFERROR(字段输入模板!L177,""))</f>
        <v/>
      </c>
      <c r="F178" s="9" t="str">
        <f>IF(字段输入模板!P177="","",IFERROR(字段输入模板!J177,""))</f>
        <v/>
      </c>
      <c r="G178" s="9" t="str">
        <f>IF(字段输入模板!P177="","",IFERROR(字段输入模板!K177,""))</f>
        <v/>
      </c>
      <c r="H178" s="12" t="str">
        <f>IF(字段输入模板!P177="","",IFERROR(字段输入模板!M177,""))</f>
        <v/>
      </c>
      <c r="I178" s="12" t="str">
        <f>IF(字段输入模板!P177="","",IFERROR(字段输入模板!N177,""))</f>
        <v/>
      </c>
      <c r="J178" s="12" t="str">
        <f>IF(字段输入模板!P177="","",IFERROR(字段输入模板!E177,""))</f>
        <v/>
      </c>
      <c r="K178" s="12" t="str">
        <f>IF(字段输入模板!P177="","",IFERROR(字段输入模板!O177,""))</f>
        <v/>
      </c>
      <c r="L178" s="9" t="str">
        <f>IF(字段输入模板!P177="","",IFERROR(字段输入模板!A177,""))</f>
        <v/>
      </c>
      <c r="M178" s="9" t="str">
        <f>IF(字段输入模板!P177="","",IFERROR(字段输入模板!F177,""))</f>
        <v/>
      </c>
      <c r="N178" s="9" t="str">
        <f>IF(字段输入模板!P177="","",IFERROR(字段输入模板!G177,""))</f>
        <v/>
      </c>
      <c r="O178" s="12" t="str">
        <f>IF(字段输入模板!P177="","",IFERROR(字段输入模板!H177,""))</f>
        <v/>
      </c>
      <c r="P178" s="13" t="str">
        <f>IF(字段输入模板!P177="","",IFERROR(字段输入模板!R177,""))</f>
        <v/>
      </c>
    </row>
    <row r="179" spans="1:16">
      <c r="A179" s="12" t="str">
        <f>IF(字段输入模板!P178="","",IFERROR(字段输入模板!P178,""))</f>
        <v/>
      </c>
      <c r="B179" s="12" t="str">
        <f>IF(字段输入模板!P178="","",IF(字段输入模板!C178="",IFERROR(字段输入模板!B178,""),IFERROR(字段输入模板!C178,"")))</f>
        <v/>
      </c>
      <c r="C179" s="12" t="str">
        <f>IF(字段输入模板!P178="","",IFERROR(字段输入模板!I178,""))</f>
        <v/>
      </c>
      <c r="D179" s="9" t="str">
        <f>IF(字段输入模板!P178="","",IFERROR(字段输入模板!Q178,""))</f>
        <v/>
      </c>
      <c r="E179" s="9" t="str">
        <f>IF(字段输入模板!P178="","",IFERROR(字段输入模板!L178,""))</f>
        <v/>
      </c>
      <c r="F179" s="9" t="str">
        <f>IF(字段输入模板!P178="","",IFERROR(字段输入模板!J178,""))</f>
        <v/>
      </c>
      <c r="G179" s="9" t="str">
        <f>IF(字段输入模板!P178="","",IFERROR(字段输入模板!K178,""))</f>
        <v/>
      </c>
      <c r="H179" s="12" t="str">
        <f>IF(字段输入模板!P178="","",IFERROR(字段输入模板!M178,""))</f>
        <v/>
      </c>
      <c r="I179" s="12" t="str">
        <f>IF(字段输入模板!P178="","",IFERROR(字段输入模板!N178,""))</f>
        <v/>
      </c>
      <c r="J179" s="12" t="str">
        <f>IF(字段输入模板!P178="","",IFERROR(字段输入模板!E178,""))</f>
        <v/>
      </c>
      <c r="K179" s="12" t="str">
        <f>IF(字段输入模板!P178="","",IFERROR(字段输入模板!O178,""))</f>
        <v/>
      </c>
      <c r="L179" s="9" t="str">
        <f>IF(字段输入模板!P178="","",IFERROR(字段输入模板!A178,""))</f>
        <v/>
      </c>
      <c r="M179" s="9" t="str">
        <f>IF(字段输入模板!P178="","",IFERROR(字段输入模板!F178,""))</f>
        <v/>
      </c>
      <c r="N179" s="9" t="str">
        <f>IF(字段输入模板!P178="","",IFERROR(字段输入模板!G178,""))</f>
        <v/>
      </c>
      <c r="O179" s="12" t="str">
        <f>IF(字段输入模板!P178="","",IFERROR(字段输入模板!H178,""))</f>
        <v/>
      </c>
      <c r="P179" s="13" t="str">
        <f>IF(字段输入模板!P178="","",IFERROR(字段输入模板!R178,""))</f>
        <v/>
      </c>
    </row>
    <row r="180" spans="1:16">
      <c r="A180" s="12" t="str">
        <f>IF(字段输入模板!P179="","",IFERROR(字段输入模板!P179,""))</f>
        <v/>
      </c>
      <c r="B180" s="12" t="str">
        <f>IF(字段输入模板!P179="","",IF(字段输入模板!C179="",IFERROR(字段输入模板!B179,""),IFERROR(字段输入模板!C179,"")))</f>
        <v/>
      </c>
      <c r="C180" s="12" t="str">
        <f>IF(字段输入模板!P179="","",IFERROR(字段输入模板!I179,""))</f>
        <v/>
      </c>
      <c r="D180" s="9" t="str">
        <f>IF(字段输入模板!P179="","",IFERROR(字段输入模板!Q179,""))</f>
        <v/>
      </c>
      <c r="E180" s="9" t="str">
        <f>IF(字段输入模板!P179="","",IFERROR(字段输入模板!L179,""))</f>
        <v/>
      </c>
      <c r="F180" s="9" t="str">
        <f>IF(字段输入模板!P179="","",IFERROR(字段输入模板!J179,""))</f>
        <v/>
      </c>
      <c r="G180" s="9" t="str">
        <f>IF(字段输入模板!P179="","",IFERROR(字段输入模板!K179,""))</f>
        <v/>
      </c>
      <c r="H180" s="12" t="str">
        <f>IF(字段输入模板!P179="","",IFERROR(字段输入模板!M179,""))</f>
        <v/>
      </c>
      <c r="I180" s="12" t="str">
        <f>IF(字段输入模板!P179="","",IFERROR(字段输入模板!N179,""))</f>
        <v/>
      </c>
      <c r="J180" s="12" t="str">
        <f>IF(字段输入模板!P179="","",IFERROR(字段输入模板!E179,""))</f>
        <v/>
      </c>
      <c r="K180" s="12" t="str">
        <f>IF(字段输入模板!P179="","",IFERROR(字段输入模板!O179,""))</f>
        <v/>
      </c>
      <c r="L180" s="9" t="str">
        <f>IF(字段输入模板!P179="","",IFERROR(字段输入模板!A179,""))</f>
        <v/>
      </c>
      <c r="M180" s="9" t="str">
        <f>IF(字段输入模板!P179="","",IFERROR(字段输入模板!F179,""))</f>
        <v/>
      </c>
      <c r="N180" s="9" t="str">
        <f>IF(字段输入模板!P179="","",IFERROR(字段输入模板!G179,""))</f>
        <v/>
      </c>
      <c r="O180" s="12" t="str">
        <f>IF(字段输入模板!P179="","",IFERROR(字段输入模板!H179,""))</f>
        <v/>
      </c>
      <c r="P180" s="13" t="str">
        <f>IF(字段输入模板!P179="","",IFERROR(字段输入模板!R179,""))</f>
        <v/>
      </c>
    </row>
    <row r="181" spans="1:16">
      <c r="A181" s="12" t="str">
        <f>IF(字段输入模板!P180="","",IFERROR(字段输入模板!P180,""))</f>
        <v/>
      </c>
      <c r="B181" s="12" t="str">
        <f>IF(字段输入模板!P180="","",IF(字段输入模板!C180="",IFERROR(字段输入模板!B180,""),IFERROR(字段输入模板!C180,"")))</f>
        <v/>
      </c>
      <c r="C181" s="12" t="str">
        <f>IF(字段输入模板!P180="","",IFERROR(字段输入模板!I180,""))</f>
        <v/>
      </c>
      <c r="D181" s="9" t="str">
        <f>IF(字段输入模板!P180="","",IFERROR(字段输入模板!Q180,""))</f>
        <v/>
      </c>
      <c r="E181" s="9" t="str">
        <f>IF(字段输入模板!P180="","",IFERROR(字段输入模板!L180,""))</f>
        <v/>
      </c>
      <c r="F181" s="9" t="str">
        <f>IF(字段输入模板!P180="","",IFERROR(字段输入模板!J180,""))</f>
        <v/>
      </c>
      <c r="G181" s="9" t="str">
        <f>IF(字段输入模板!P180="","",IFERROR(字段输入模板!K180,""))</f>
        <v/>
      </c>
      <c r="H181" s="12" t="str">
        <f>IF(字段输入模板!P180="","",IFERROR(字段输入模板!M180,""))</f>
        <v/>
      </c>
      <c r="I181" s="12" t="str">
        <f>IF(字段输入模板!P180="","",IFERROR(字段输入模板!N180,""))</f>
        <v/>
      </c>
      <c r="J181" s="12" t="str">
        <f>IF(字段输入模板!P180="","",IFERROR(字段输入模板!E180,""))</f>
        <v/>
      </c>
      <c r="K181" s="12" t="str">
        <f>IF(字段输入模板!P180="","",IFERROR(字段输入模板!O180,""))</f>
        <v/>
      </c>
      <c r="L181" s="9" t="str">
        <f>IF(字段输入模板!P180="","",IFERROR(字段输入模板!A180,""))</f>
        <v/>
      </c>
      <c r="M181" s="9" t="str">
        <f>IF(字段输入模板!P180="","",IFERROR(字段输入模板!F180,""))</f>
        <v/>
      </c>
      <c r="N181" s="9" t="str">
        <f>IF(字段输入模板!P180="","",IFERROR(字段输入模板!G180,""))</f>
        <v/>
      </c>
      <c r="O181" s="12" t="str">
        <f>IF(字段输入模板!P180="","",IFERROR(字段输入模板!H180,""))</f>
        <v/>
      </c>
      <c r="P181" s="13" t="str">
        <f>IF(字段输入模板!P180="","",IFERROR(字段输入模板!R180,""))</f>
        <v/>
      </c>
    </row>
    <row r="182" spans="1:16">
      <c r="A182" s="12" t="str">
        <f>IF(字段输入模板!P181="","",IFERROR(字段输入模板!P181,""))</f>
        <v/>
      </c>
      <c r="B182" s="12" t="str">
        <f>IF(字段输入模板!P181="","",IF(字段输入模板!C181="",IFERROR(字段输入模板!B181,""),IFERROR(字段输入模板!C181,"")))</f>
        <v/>
      </c>
      <c r="C182" s="12" t="str">
        <f>IF(字段输入模板!P181="","",IFERROR(字段输入模板!I181,""))</f>
        <v/>
      </c>
      <c r="D182" s="9" t="str">
        <f>IF(字段输入模板!P181="","",IFERROR(字段输入模板!Q181,""))</f>
        <v/>
      </c>
      <c r="E182" s="9" t="str">
        <f>IF(字段输入模板!P181="","",IFERROR(字段输入模板!L181,""))</f>
        <v/>
      </c>
      <c r="F182" s="9" t="str">
        <f>IF(字段输入模板!P181="","",IFERROR(字段输入模板!J181,""))</f>
        <v/>
      </c>
      <c r="G182" s="9" t="str">
        <f>IF(字段输入模板!P181="","",IFERROR(字段输入模板!K181,""))</f>
        <v/>
      </c>
      <c r="H182" s="12" t="str">
        <f>IF(字段输入模板!P181="","",IFERROR(字段输入模板!M181,""))</f>
        <v/>
      </c>
      <c r="I182" s="12" t="str">
        <f>IF(字段输入模板!P181="","",IFERROR(字段输入模板!N181,""))</f>
        <v/>
      </c>
      <c r="J182" s="12" t="str">
        <f>IF(字段输入模板!P181="","",IFERROR(字段输入模板!E181,""))</f>
        <v/>
      </c>
      <c r="K182" s="12" t="str">
        <f>IF(字段输入模板!P181="","",IFERROR(字段输入模板!O181,""))</f>
        <v/>
      </c>
      <c r="L182" s="9" t="str">
        <f>IF(字段输入模板!P181="","",IFERROR(字段输入模板!A181,""))</f>
        <v/>
      </c>
      <c r="M182" s="9" t="str">
        <f>IF(字段输入模板!P181="","",IFERROR(字段输入模板!F181,""))</f>
        <v/>
      </c>
      <c r="N182" s="9" t="str">
        <f>IF(字段输入模板!P181="","",IFERROR(字段输入模板!G181,""))</f>
        <v/>
      </c>
      <c r="O182" s="12" t="str">
        <f>IF(字段输入模板!P181="","",IFERROR(字段输入模板!H181,""))</f>
        <v/>
      </c>
      <c r="P182" s="13" t="str">
        <f>IF(字段输入模板!P181="","",IFERROR(字段输入模板!R181,""))</f>
        <v/>
      </c>
    </row>
    <row r="183" spans="1:16">
      <c r="A183" s="12" t="str">
        <f>IF(字段输入模板!P182="","",IFERROR(字段输入模板!P182,""))</f>
        <v/>
      </c>
      <c r="B183" s="12" t="str">
        <f>IF(字段输入模板!P182="","",IF(字段输入模板!C182="",IFERROR(字段输入模板!B182,""),IFERROR(字段输入模板!C182,"")))</f>
        <v/>
      </c>
      <c r="C183" s="12" t="str">
        <f>IF(字段输入模板!P182="","",IFERROR(字段输入模板!I182,""))</f>
        <v/>
      </c>
      <c r="D183" s="9" t="str">
        <f>IF(字段输入模板!P182="","",IFERROR(字段输入模板!Q182,""))</f>
        <v/>
      </c>
      <c r="E183" s="9" t="str">
        <f>IF(字段输入模板!P182="","",IFERROR(字段输入模板!L182,""))</f>
        <v/>
      </c>
      <c r="F183" s="9" t="str">
        <f>IF(字段输入模板!P182="","",IFERROR(字段输入模板!J182,""))</f>
        <v/>
      </c>
      <c r="G183" s="9" t="str">
        <f>IF(字段输入模板!P182="","",IFERROR(字段输入模板!K182,""))</f>
        <v/>
      </c>
      <c r="H183" s="12" t="str">
        <f>IF(字段输入模板!P182="","",IFERROR(字段输入模板!M182,""))</f>
        <v/>
      </c>
      <c r="I183" s="12" t="str">
        <f>IF(字段输入模板!P182="","",IFERROR(字段输入模板!N182,""))</f>
        <v/>
      </c>
      <c r="J183" s="12" t="str">
        <f>IF(字段输入模板!P182="","",IFERROR(字段输入模板!E182,""))</f>
        <v/>
      </c>
      <c r="K183" s="12" t="str">
        <f>IF(字段输入模板!P182="","",IFERROR(字段输入模板!O182,""))</f>
        <v/>
      </c>
      <c r="L183" s="9" t="str">
        <f>IF(字段输入模板!P182="","",IFERROR(字段输入模板!A182,""))</f>
        <v/>
      </c>
      <c r="M183" s="9" t="str">
        <f>IF(字段输入模板!P182="","",IFERROR(字段输入模板!F182,""))</f>
        <v/>
      </c>
      <c r="N183" s="9" t="str">
        <f>IF(字段输入模板!P182="","",IFERROR(字段输入模板!G182,""))</f>
        <v/>
      </c>
      <c r="O183" s="12" t="str">
        <f>IF(字段输入模板!P182="","",IFERROR(字段输入模板!H182,""))</f>
        <v/>
      </c>
      <c r="P183" s="13" t="str">
        <f>IF(字段输入模板!P182="","",IFERROR(字段输入模板!R182,""))</f>
        <v/>
      </c>
    </row>
    <row r="184" spans="1:16">
      <c r="A184" s="12" t="str">
        <f>IF(字段输入模板!P183="","",IFERROR(字段输入模板!P183,""))</f>
        <v/>
      </c>
      <c r="B184" s="12" t="str">
        <f>IF(字段输入模板!P183="","",IF(字段输入模板!C183="",IFERROR(字段输入模板!B183,""),IFERROR(字段输入模板!C183,"")))</f>
        <v/>
      </c>
      <c r="C184" s="12" t="str">
        <f>IF(字段输入模板!P183="","",IFERROR(字段输入模板!I183,""))</f>
        <v/>
      </c>
      <c r="D184" s="9" t="str">
        <f>IF(字段输入模板!P183="","",IFERROR(字段输入模板!Q183,""))</f>
        <v/>
      </c>
      <c r="E184" s="9" t="str">
        <f>IF(字段输入模板!P183="","",IFERROR(字段输入模板!L183,""))</f>
        <v/>
      </c>
      <c r="F184" s="9" t="str">
        <f>IF(字段输入模板!P183="","",IFERROR(字段输入模板!J183,""))</f>
        <v/>
      </c>
      <c r="G184" s="9" t="str">
        <f>IF(字段输入模板!P183="","",IFERROR(字段输入模板!K183,""))</f>
        <v/>
      </c>
      <c r="H184" s="12" t="str">
        <f>IF(字段输入模板!P183="","",IFERROR(字段输入模板!M183,""))</f>
        <v/>
      </c>
      <c r="I184" s="12" t="str">
        <f>IF(字段输入模板!P183="","",IFERROR(字段输入模板!N183,""))</f>
        <v/>
      </c>
      <c r="J184" s="12" t="str">
        <f>IF(字段输入模板!P183="","",IFERROR(字段输入模板!E183,""))</f>
        <v/>
      </c>
      <c r="K184" s="12" t="str">
        <f>IF(字段输入模板!P183="","",IFERROR(字段输入模板!O183,""))</f>
        <v/>
      </c>
      <c r="L184" s="9" t="str">
        <f>IF(字段输入模板!P183="","",IFERROR(字段输入模板!A183,""))</f>
        <v/>
      </c>
      <c r="M184" s="9" t="str">
        <f>IF(字段输入模板!P183="","",IFERROR(字段输入模板!F183,""))</f>
        <v/>
      </c>
      <c r="N184" s="9" t="str">
        <f>IF(字段输入模板!P183="","",IFERROR(字段输入模板!G183,""))</f>
        <v/>
      </c>
      <c r="O184" s="12" t="str">
        <f>IF(字段输入模板!P183="","",IFERROR(字段输入模板!H183,""))</f>
        <v/>
      </c>
      <c r="P184" s="13" t="str">
        <f>IF(字段输入模板!P183="","",IFERROR(字段输入模板!R183,""))</f>
        <v/>
      </c>
    </row>
    <row r="185" spans="1:16">
      <c r="A185" s="12" t="str">
        <f>IF(字段输入模板!P184="","",IFERROR(字段输入模板!P184,""))</f>
        <v/>
      </c>
      <c r="B185" s="12" t="str">
        <f>IF(字段输入模板!P184="","",IF(字段输入模板!C184="",IFERROR(字段输入模板!B184,""),IFERROR(字段输入模板!C184,"")))</f>
        <v/>
      </c>
      <c r="C185" s="12" t="str">
        <f>IF(字段输入模板!P184="","",IFERROR(字段输入模板!I184,""))</f>
        <v/>
      </c>
      <c r="D185" s="9" t="str">
        <f>IF(字段输入模板!P184="","",IFERROR(字段输入模板!Q184,""))</f>
        <v/>
      </c>
      <c r="E185" s="9" t="str">
        <f>IF(字段输入模板!P184="","",IFERROR(字段输入模板!L184,""))</f>
        <v/>
      </c>
      <c r="F185" s="9" t="str">
        <f>IF(字段输入模板!P184="","",IFERROR(字段输入模板!J184,""))</f>
        <v/>
      </c>
      <c r="G185" s="9" t="str">
        <f>IF(字段输入模板!P184="","",IFERROR(字段输入模板!K184,""))</f>
        <v/>
      </c>
      <c r="H185" s="12" t="str">
        <f>IF(字段输入模板!P184="","",IFERROR(字段输入模板!M184,""))</f>
        <v/>
      </c>
      <c r="I185" s="12" t="str">
        <f>IF(字段输入模板!P184="","",IFERROR(字段输入模板!N184,""))</f>
        <v/>
      </c>
      <c r="J185" s="12" t="str">
        <f>IF(字段输入模板!P184="","",IFERROR(字段输入模板!E184,""))</f>
        <v/>
      </c>
      <c r="K185" s="12" t="str">
        <f>IF(字段输入模板!P184="","",IFERROR(字段输入模板!O184,""))</f>
        <v/>
      </c>
      <c r="L185" s="9" t="str">
        <f>IF(字段输入模板!P184="","",IFERROR(字段输入模板!A184,""))</f>
        <v/>
      </c>
      <c r="M185" s="9" t="str">
        <f>IF(字段输入模板!P184="","",IFERROR(字段输入模板!F184,""))</f>
        <v/>
      </c>
      <c r="N185" s="9" t="str">
        <f>IF(字段输入模板!P184="","",IFERROR(字段输入模板!G184,""))</f>
        <v/>
      </c>
      <c r="O185" s="12" t="str">
        <f>IF(字段输入模板!P184="","",IFERROR(字段输入模板!H184,""))</f>
        <v/>
      </c>
      <c r="P185" s="13" t="str">
        <f>IF(字段输入模板!P184="","",IFERROR(字段输入模板!R184,""))</f>
        <v/>
      </c>
    </row>
    <row r="186" spans="1:16">
      <c r="A186" s="12" t="str">
        <f>IF(字段输入模板!P185="","",IFERROR(字段输入模板!P185,""))</f>
        <v/>
      </c>
      <c r="B186" s="12" t="str">
        <f>IF(字段输入模板!P185="","",IF(字段输入模板!C185="",IFERROR(字段输入模板!B185,""),IFERROR(字段输入模板!C185,"")))</f>
        <v/>
      </c>
      <c r="C186" s="12" t="str">
        <f>IF(字段输入模板!P185="","",IFERROR(字段输入模板!I185,""))</f>
        <v/>
      </c>
      <c r="D186" s="9" t="str">
        <f>IF(字段输入模板!P185="","",IFERROR(字段输入模板!Q185,""))</f>
        <v/>
      </c>
      <c r="E186" s="9" t="str">
        <f>IF(字段输入模板!P185="","",IFERROR(字段输入模板!L185,""))</f>
        <v/>
      </c>
      <c r="F186" s="9" t="str">
        <f>IF(字段输入模板!P185="","",IFERROR(字段输入模板!J185,""))</f>
        <v/>
      </c>
      <c r="G186" s="9" t="str">
        <f>IF(字段输入模板!P185="","",IFERROR(字段输入模板!K185,""))</f>
        <v/>
      </c>
      <c r="H186" s="12" t="str">
        <f>IF(字段输入模板!P185="","",IFERROR(字段输入模板!M185,""))</f>
        <v/>
      </c>
      <c r="I186" s="12" t="str">
        <f>IF(字段输入模板!P185="","",IFERROR(字段输入模板!N185,""))</f>
        <v/>
      </c>
      <c r="J186" s="12" t="str">
        <f>IF(字段输入模板!P185="","",IFERROR(字段输入模板!E185,""))</f>
        <v/>
      </c>
      <c r="K186" s="12" t="str">
        <f>IF(字段输入模板!P185="","",IFERROR(字段输入模板!O185,""))</f>
        <v/>
      </c>
      <c r="L186" s="9" t="str">
        <f>IF(字段输入模板!P185="","",IFERROR(字段输入模板!A185,""))</f>
        <v/>
      </c>
      <c r="M186" s="9" t="str">
        <f>IF(字段输入模板!P185="","",IFERROR(字段输入模板!F185,""))</f>
        <v/>
      </c>
      <c r="N186" s="9" t="str">
        <f>IF(字段输入模板!P185="","",IFERROR(字段输入模板!G185,""))</f>
        <v/>
      </c>
      <c r="O186" s="12" t="str">
        <f>IF(字段输入模板!P185="","",IFERROR(字段输入模板!H185,""))</f>
        <v/>
      </c>
      <c r="P186" s="13" t="str">
        <f>IF(字段输入模板!P185="","",IFERROR(字段输入模板!R185,""))</f>
        <v/>
      </c>
    </row>
    <row r="187" spans="1:16">
      <c r="A187" s="12" t="str">
        <f>IF(字段输入模板!P186="","",IFERROR(字段输入模板!P186,""))</f>
        <v/>
      </c>
      <c r="B187" s="12" t="str">
        <f>IF(字段输入模板!P186="","",IF(字段输入模板!C186="",IFERROR(字段输入模板!B186,""),IFERROR(字段输入模板!C186,"")))</f>
        <v/>
      </c>
      <c r="C187" s="12" t="str">
        <f>IF(字段输入模板!P186="","",IFERROR(字段输入模板!I186,""))</f>
        <v/>
      </c>
      <c r="D187" s="9" t="str">
        <f>IF(字段输入模板!P186="","",IFERROR(字段输入模板!Q186,""))</f>
        <v/>
      </c>
      <c r="E187" s="9" t="str">
        <f>IF(字段输入模板!P186="","",IFERROR(字段输入模板!L186,""))</f>
        <v/>
      </c>
      <c r="F187" s="9" t="str">
        <f>IF(字段输入模板!P186="","",IFERROR(字段输入模板!J186,""))</f>
        <v/>
      </c>
      <c r="G187" s="9" t="str">
        <f>IF(字段输入模板!P186="","",IFERROR(字段输入模板!K186,""))</f>
        <v/>
      </c>
      <c r="H187" s="12" t="str">
        <f>IF(字段输入模板!P186="","",IFERROR(字段输入模板!M186,""))</f>
        <v/>
      </c>
      <c r="I187" s="12" t="str">
        <f>IF(字段输入模板!P186="","",IFERROR(字段输入模板!N186,""))</f>
        <v/>
      </c>
      <c r="J187" s="12" t="str">
        <f>IF(字段输入模板!P186="","",IFERROR(字段输入模板!E186,""))</f>
        <v/>
      </c>
      <c r="K187" s="12" t="str">
        <f>IF(字段输入模板!P186="","",IFERROR(字段输入模板!O186,""))</f>
        <v/>
      </c>
      <c r="L187" s="9" t="str">
        <f>IF(字段输入模板!P186="","",IFERROR(字段输入模板!A186,""))</f>
        <v/>
      </c>
      <c r="M187" s="9" t="str">
        <f>IF(字段输入模板!P186="","",IFERROR(字段输入模板!F186,""))</f>
        <v/>
      </c>
      <c r="N187" s="9" t="str">
        <f>IF(字段输入模板!P186="","",IFERROR(字段输入模板!G186,""))</f>
        <v/>
      </c>
      <c r="O187" s="12" t="str">
        <f>IF(字段输入模板!P186="","",IFERROR(字段输入模板!H186,""))</f>
        <v/>
      </c>
      <c r="P187" s="13" t="str">
        <f>IF(字段输入模板!P186="","",IFERROR(字段输入模板!R186,""))</f>
        <v/>
      </c>
    </row>
    <row r="188" spans="1:16">
      <c r="A188" s="12" t="str">
        <f>IF(字段输入模板!P187="","",IFERROR(字段输入模板!P187,""))</f>
        <v/>
      </c>
      <c r="B188" s="12" t="str">
        <f>IF(字段输入模板!P187="","",IF(字段输入模板!C187="",IFERROR(字段输入模板!B187,""),IFERROR(字段输入模板!C187,"")))</f>
        <v/>
      </c>
      <c r="C188" s="12" t="str">
        <f>IF(字段输入模板!P187="","",IFERROR(字段输入模板!I187,""))</f>
        <v/>
      </c>
      <c r="D188" s="9" t="str">
        <f>IF(字段输入模板!P187="","",IFERROR(字段输入模板!Q187,""))</f>
        <v/>
      </c>
      <c r="E188" s="9" t="str">
        <f>IF(字段输入模板!P187="","",IFERROR(字段输入模板!L187,""))</f>
        <v/>
      </c>
      <c r="F188" s="9" t="str">
        <f>IF(字段输入模板!P187="","",IFERROR(字段输入模板!J187,""))</f>
        <v/>
      </c>
      <c r="G188" s="9" t="str">
        <f>IF(字段输入模板!P187="","",IFERROR(字段输入模板!K187,""))</f>
        <v/>
      </c>
      <c r="H188" s="12" t="str">
        <f>IF(字段输入模板!P187="","",IFERROR(字段输入模板!M187,""))</f>
        <v/>
      </c>
      <c r="I188" s="12" t="str">
        <f>IF(字段输入模板!P187="","",IFERROR(字段输入模板!N187,""))</f>
        <v/>
      </c>
      <c r="J188" s="12" t="str">
        <f>IF(字段输入模板!P187="","",IFERROR(字段输入模板!E187,""))</f>
        <v/>
      </c>
      <c r="K188" s="12" t="str">
        <f>IF(字段输入模板!P187="","",IFERROR(字段输入模板!O187,""))</f>
        <v/>
      </c>
      <c r="L188" s="9" t="str">
        <f>IF(字段输入模板!P187="","",IFERROR(字段输入模板!A187,""))</f>
        <v/>
      </c>
      <c r="M188" s="9" t="str">
        <f>IF(字段输入模板!P187="","",IFERROR(字段输入模板!F187,""))</f>
        <v/>
      </c>
      <c r="N188" s="9" t="str">
        <f>IF(字段输入模板!P187="","",IFERROR(字段输入模板!G187,""))</f>
        <v/>
      </c>
      <c r="O188" s="12" t="str">
        <f>IF(字段输入模板!P187="","",IFERROR(字段输入模板!H187,""))</f>
        <v/>
      </c>
      <c r="P188" s="13" t="str">
        <f>IF(字段输入模板!P187="","",IFERROR(字段输入模板!R187,""))</f>
        <v/>
      </c>
    </row>
    <row r="189" spans="1:16">
      <c r="A189" s="12" t="str">
        <f>IF(字段输入模板!P188="","",IFERROR(字段输入模板!P188,""))</f>
        <v/>
      </c>
      <c r="B189" s="12" t="str">
        <f>IF(字段输入模板!P188="","",IF(字段输入模板!C188="",IFERROR(字段输入模板!B188,""),IFERROR(字段输入模板!C188,"")))</f>
        <v/>
      </c>
      <c r="C189" s="12" t="str">
        <f>IF(字段输入模板!P188="","",IFERROR(字段输入模板!I188,""))</f>
        <v/>
      </c>
      <c r="D189" s="9" t="str">
        <f>IF(字段输入模板!P188="","",IFERROR(字段输入模板!Q188,""))</f>
        <v/>
      </c>
      <c r="E189" s="9" t="str">
        <f>IF(字段输入模板!P188="","",IFERROR(字段输入模板!L188,""))</f>
        <v/>
      </c>
      <c r="F189" s="9" t="str">
        <f>IF(字段输入模板!P188="","",IFERROR(字段输入模板!J188,""))</f>
        <v/>
      </c>
      <c r="G189" s="9" t="str">
        <f>IF(字段输入模板!P188="","",IFERROR(字段输入模板!K188,""))</f>
        <v/>
      </c>
      <c r="H189" s="12" t="str">
        <f>IF(字段输入模板!P188="","",IFERROR(字段输入模板!M188,""))</f>
        <v/>
      </c>
      <c r="I189" s="12" t="str">
        <f>IF(字段输入模板!P188="","",IFERROR(字段输入模板!N188,""))</f>
        <v/>
      </c>
      <c r="J189" s="12" t="str">
        <f>IF(字段输入模板!P188="","",IFERROR(字段输入模板!E188,""))</f>
        <v/>
      </c>
      <c r="K189" s="12" t="str">
        <f>IF(字段输入模板!P188="","",IFERROR(字段输入模板!O188,""))</f>
        <v/>
      </c>
      <c r="L189" s="9" t="str">
        <f>IF(字段输入模板!P188="","",IFERROR(字段输入模板!A188,""))</f>
        <v/>
      </c>
      <c r="M189" s="9" t="str">
        <f>IF(字段输入模板!P188="","",IFERROR(字段输入模板!F188,""))</f>
        <v/>
      </c>
      <c r="N189" s="9" t="str">
        <f>IF(字段输入模板!P188="","",IFERROR(字段输入模板!G188,""))</f>
        <v/>
      </c>
      <c r="O189" s="12" t="str">
        <f>IF(字段输入模板!P188="","",IFERROR(字段输入模板!H188,""))</f>
        <v/>
      </c>
      <c r="P189" s="13" t="str">
        <f>IF(字段输入模板!P188="","",IFERROR(字段输入模板!R188,""))</f>
        <v/>
      </c>
    </row>
    <row r="190" spans="1:16">
      <c r="A190" s="12" t="str">
        <f>IF(字段输入模板!P189="","",IFERROR(字段输入模板!P189,""))</f>
        <v/>
      </c>
      <c r="B190" s="12" t="str">
        <f>IF(字段输入模板!P189="","",IF(字段输入模板!C189="",IFERROR(字段输入模板!B189,""),IFERROR(字段输入模板!C189,"")))</f>
        <v/>
      </c>
      <c r="C190" s="12" t="str">
        <f>IF(字段输入模板!P189="","",IFERROR(字段输入模板!I189,""))</f>
        <v/>
      </c>
      <c r="D190" s="9" t="str">
        <f>IF(字段输入模板!P189="","",IFERROR(字段输入模板!Q189,""))</f>
        <v/>
      </c>
      <c r="E190" s="9" t="str">
        <f>IF(字段输入模板!P189="","",IFERROR(字段输入模板!L189,""))</f>
        <v/>
      </c>
      <c r="F190" s="9" t="str">
        <f>IF(字段输入模板!P189="","",IFERROR(字段输入模板!J189,""))</f>
        <v/>
      </c>
      <c r="G190" s="9" t="str">
        <f>IF(字段输入模板!P189="","",IFERROR(字段输入模板!K189,""))</f>
        <v/>
      </c>
      <c r="H190" s="12" t="str">
        <f>IF(字段输入模板!P189="","",IFERROR(字段输入模板!M189,""))</f>
        <v/>
      </c>
      <c r="I190" s="12" t="str">
        <f>IF(字段输入模板!P189="","",IFERROR(字段输入模板!N189,""))</f>
        <v/>
      </c>
      <c r="J190" s="12" t="str">
        <f>IF(字段输入模板!P189="","",IFERROR(字段输入模板!E189,""))</f>
        <v/>
      </c>
      <c r="K190" s="12" t="str">
        <f>IF(字段输入模板!P189="","",IFERROR(字段输入模板!O189,""))</f>
        <v/>
      </c>
      <c r="L190" s="9" t="str">
        <f>IF(字段输入模板!P189="","",IFERROR(字段输入模板!A189,""))</f>
        <v/>
      </c>
      <c r="M190" s="9" t="str">
        <f>IF(字段输入模板!P189="","",IFERROR(字段输入模板!F189,""))</f>
        <v/>
      </c>
      <c r="N190" s="9" t="str">
        <f>IF(字段输入模板!P189="","",IFERROR(字段输入模板!G189,""))</f>
        <v/>
      </c>
      <c r="O190" s="12" t="str">
        <f>IF(字段输入模板!P189="","",IFERROR(字段输入模板!H189,""))</f>
        <v/>
      </c>
      <c r="P190" s="13" t="str">
        <f>IF(字段输入模板!P189="","",IFERROR(字段输入模板!R189,""))</f>
        <v/>
      </c>
    </row>
    <row r="191" spans="1:16">
      <c r="A191" s="12" t="str">
        <f>IF(字段输入模板!P190="","",IFERROR(字段输入模板!P190,""))</f>
        <v/>
      </c>
      <c r="B191" s="12" t="str">
        <f>IF(字段输入模板!P190="","",IF(字段输入模板!C190="",IFERROR(字段输入模板!B190,""),IFERROR(字段输入模板!C190,"")))</f>
        <v/>
      </c>
      <c r="C191" s="12" t="str">
        <f>IF(字段输入模板!P190="","",IFERROR(字段输入模板!I190,""))</f>
        <v/>
      </c>
      <c r="D191" s="9" t="str">
        <f>IF(字段输入模板!P190="","",IFERROR(字段输入模板!Q190,""))</f>
        <v/>
      </c>
      <c r="E191" s="9" t="str">
        <f>IF(字段输入模板!P190="","",IFERROR(字段输入模板!L190,""))</f>
        <v/>
      </c>
      <c r="F191" s="9" t="str">
        <f>IF(字段输入模板!P190="","",IFERROR(字段输入模板!J190,""))</f>
        <v/>
      </c>
      <c r="G191" s="9" t="str">
        <f>IF(字段输入模板!P190="","",IFERROR(字段输入模板!K190,""))</f>
        <v/>
      </c>
      <c r="H191" s="12" t="str">
        <f>IF(字段输入模板!P190="","",IFERROR(字段输入模板!M190,""))</f>
        <v/>
      </c>
      <c r="I191" s="12" t="str">
        <f>IF(字段输入模板!P190="","",IFERROR(字段输入模板!N190,""))</f>
        <v/>
      </c>
      <c r="J191" s="12" t="str">
        <f>IF(字段输入模板!P190="","",IFERROR(字段输入模板!E190,""))</f>
        <v/>
      </c>
      <c r="K191" s="12" t="str">
        <f>IF(字段输入模板!P190="","",IFERROR(字段输入模板!O190,""))</f>
        <v/>
      </c>
      <c r="L191" s="9" t="str">
        <f>IF(字段输入模板!P190="","",IFERROR(字段输入模板!A190,""))</f>
        <v/>
      </c>
      <c r="M191" s="9" t="str">
        <f>IF(字段输入模板!P190="","",IFERROR(字段输入模板!F190,""))</f>
        <v/>
      </c>
      <c r="N191" s="9" t="str">
        <f>IF(字段输入模板!P190="","",IFERROR(字段输入模板!G190,""))</f>
        <v/>
      </c>
      <c r="O191" s="12" t="str">
        <f>IF(字段输入模板!P190="","",IFERROR(字段输入模板!H190,""))</f>
        <v/>
      </c>
      <c r="P191" s="13" t="str">
        <f>IF(字段输入模板!P190="","",IFERROR(字段输入模板!R190,""))</f>
        <v/>
      </c>
    </row>
    <row r="192" spans="1:16">
      <c r="A192" s="12" t="str">
        <f>IF(字段输入模板!P191="","",IFERROR(字段输入模板!P191,""))</f>
        <v/>
      </c>
      <c r="B192" s="12" t="str">
        <f>IF(字段输入模板!P191="","",IF(字段输入模板!C191="",IFERROR(字段输入模板!B191,""),IFERROR(字段输入模板!C191,"")))</f>
        <v/>
      </c>
      <c r="C192" s="12" t="str">
        <f>IF(字段输入模板!P191="","",IFERROR(字段输入模板!I191,""))</f>
        <v/>
      </c>
      <c r="D192" s="9" t="str">
        <f>IF(字段输入模板!P191="","",IFERROR(字段输入模板!Q191,""))</f>
        <v/>
      </c>
      <c r="E192" s="9" t="str">
        <f>IF(字段输入模板!P191="","",IFERROR(字段输入模板!L191,""))</f>
        <v/>
      </c>
      <c r="F192" s="9" t="str">
        <f>IF(字段输入模板!P191="","",IFERROR(字段输入模板!J191,""))</f>
        <v/>
      </c>
      <c r="G192" s="9" t="str">
        <f>IF(字段输入模板!P191="","",IFERROR(字段输入模板!K191,""))</f>
        <v/>
      </c>
      <c r="H192" s="12" t="str">
        <f>IF(字段输入模板!P191="","",IFERROR(字段输入模板!M191,""))</f>
        <v/>
      </c>
      <c r="I192" s="12" t="str">
        <f>IF(字段输入模板!P191="","",IFERROR(字段输入模板!N191,""))</f>
        <v/>
      </c>
      <c r="J192" s="12" t="str">
        <f>IF(字段输入模板!P191="","",IFERROR(字段输入模板!E191,""))</f>
        <v/>
      </c>
      <c r="K192" s="12" t="str">
        <f>IF(字段输入模板!P191="","",IFERROR(字段输入模板!O191,""))</f>
        <v/>
      </c>
      <c r="L192" s="9" t="str">
        <f>IF(字段输入模板!P191="","",IFERROR(字段输入模板!A191,""))</f>
        <v/>
      </c>
      <c r="M192" s="9" t="str">
        <f>IF(字段输入模板!P191="","",IFERROR(字段输入模板!F191,""))</f>
        <v/>
      </c>
      <c r="N192" s="9" t="str">
        <f>IF(字段输入模板!P191="","",IFERROR(字段输入模板!G191,""))</f>
        <v/>
      </c>
      <c r="O192" s="12" t="str">
        <f>IF(字段输入模板!P191="","",IFERROR(字段输入模板!H191,""))</f>
        <v/>
      </c>
      <c r="P192" s="13" t="str">
        <f>IF(字段输入模板!P191="","",IFERROR(字段输入模板!R191,""))</f>
        <v/>
      </c>
    </row>
    <row r="193" spans="1:16">
      <c r="A193" s="12" t="str">
        <f>IF(字段输入模板!P192="","",IFERROR(字段输入模板!P192,""))</f>
        <v/>
      </c>
      <c r="B193" s="12" t="str">
        <f>IF(字段输入模板!P192="","",IF(字段输入模板!C192="",IFERROR(字段输入模板!B192,""),IFERROR(字段输入模板!C192,"")))</f>
        <v/>
      </c>
      <c r="C193" s="12" t="str">
        <f>IF(字段输入模板!P192="","",IFERROR(字段输入模板!I192,""))</f>
        <v/>
      </c>
      <c r="D193" s="9" t="str">
        <f>IF(字段输入模板!P192="","",IFERROR(字段输入模板!Q192,""))</f>
        <v/>
      </c>
      <c r="E193" s="9" t="str">
        <f>IF(字段输入模板!P192="","",IFERROR(字段输入模板!L192,""))</f>
        <v/>
      </c>
      <c r="F193" s="9" t="str">
        <f>IF(字段输入模板!P192="","",IFERROR(字段输入模板!J192,""))</f>
        <v/>
      </c>
      <c r="G193" s="9" t="str">
        <f>IF(字段输入模板!P192="","",IFERROR(字段输入模板!K192,""))</f>
        <v/>
      </c>
      <c r="H193" s="12" t="str">
        <f>IF(字段输入模板!P192="","",IFERROR(字段输入模板!M192,""))</f>
        <v/>
      </c>
      <c r="I193" s="12" t="str">
        <f>IF(字段输入模板!P192="","",IFERROR(字段输入模板!N192,""))</f>
        <v/>
      </c>
      <c r="J193" s="12" t="str">
        <f>IF(字段输入模板!P192="","",IFERROR(字段输入模板!E192,""))</f>
        <v/>
      </c>
      <c r="K193" s="12" t="str">
        <f>IF(字段输入模板!P192="","",IFERROR(字段输入模板!O192,""))</f>
        <v/>
      </c>
      <c r="L193" s="9" t="str">
        <f>IF(字段输入模板!P192="","",IFERROR(字段输入模板!A192,""))</f>
        <v/>
      </c>
      <c r="M193" s="9" t="str">
        <f>IF(字段输入模板!P192="","",IFERROR(字段输入模板!F192,""))</f>
        <v/>
      </c>
      <c r="N193" s="9" t="str">
        <f>IF(字段输入模板!P192="","",IFERROR(字段输入模板!G192,""))</f>
        <v/>
      </c>
      <c r="O193" s="12" t="str">
        <f>IF(字段输入模板!P192="","",IFERROR(字段输入模板!H192,""))</f>
        <v/>
      </c>
      <c r="P193" s="13" t="str">
        <f>IF(字段输入模板!P192="","",IFERROR(字段输入模板!R192,""))</f>
        <v/>
      </c>
    </row>
    <row r="194" spans="1:16">
      <c r="A194" s="12" t="str">
        <f>IF(字段输入模板!P193="","",IFERROR(字段输入模板!P193,""))</f>
        <v/>
      </c>
      <c r="B194" s="12" t="str">
        <f>IF(字段输入模板!P193="","",IF(字段输入模板!C193="",IFERROR(字段输入模板!B193,""),IFERROR(字段输入模板!C193,"")))</f>
        <v/>
      </c>
      <c r="C194" s="12" t="str">
        <f>IF(字段输入模板!P193="","",IFERROR(字段输入模板!I193,""))</f>
        <v/>
      </c>
      <c r="D194" s="9" t="str">
        <f>IF(字段输入模板!P193="","",IFERROR(字段输入模板!Q193,""))</f>
        <v/>
      </c>
      <c r="E194" s="9" t="str">
        <f>IF(字段输入模板!P193="","",IFERROR(字段输入模板!L193,""))</f>
        <v/>
      </c>
      <c r="F194" s="9" t="str">
        <f>IF(字段输入模板!P193="","",IFERROR(字段输入模板!J193,""))</f>
        <v/>
      </c>
      <c r="G194" s="9" t="str">
        <f>IF(字段输入模板!P193="","",IFERROR(字段输入模板!K193,""))</f>
        <v/>
      </c>
      <c r="H194" s="12" t="str">
        <f>IF(字段输入模板!P193="","",IFERROR(字段输入模板!M193,""))</f>
        <v/>
      </c>
      <c r="I194" s="12" t="str">
        <f>IF(字段输入模板!P193="","",IFERROR(字段输入模板!N193,""))</f>
        <v/>
      </c>
      <c r="J194" s="12" t="str">
        <f>IF(字段输入模板!P193="","",IFERROR(字段输入模板!E193,""))</f>
        <v/>
      </c>
      <c r="K194" s="12" t="str">
        <f>IF(字段输入模板!P193="","",IFERROR(字段输入模板!O193,""))</f>
        <v/>
      </c>
      <c r="L194" s="9" t="str">
        <f>IF(字段输入模板!P193="","",IFERROR(字段输入模板!A193,""))</f>
        <v/>
      </c>
      <c r="M194" s="9" t="str">
        <f>IF(字段输入模板!P193="","",IFERROR(字段输入模板!F193,""))</f>
        <v/>
      </c>
      <c r="N194" s="9" t="str">
        <f>IF(字段输入模板!P193="","",IFERROR(字段输入模板!G193,""))</f>
        <v/>
      </c>
      <c r="O194" s="12" t="str">
        <f>IF(字段输入模板!P193="","",IFERROR(字段输入模板!H193,""))</f>
        <v/>
      </c>
      <c r="P194" s="13" t="str">
        <f>IF(字段输入模板!P193="","",IFERROR(字段输入模板!R193,""))</f>
        <v/>
      </c>
    </row>
    <row r="195" spans="1:16">
      <c r="A195" s="12" t="str">
        <f>IF(字段输入模板!P194="","",IFERROR(字段输入模板!P194,""))</f>
        <v/>
      </c>
      <c r="B195" s="12" t="str">
        <f>IF(字段输入模板!P194="","",IF(字段输入模板!C194="",IFERROR(字段输入模板!B194,""),IFERROR(字段输入模板!C194,"")))</f>
        <v/>
      </c>
      <c r="C195" s="12" t="str">
        <f>IF(字段输入模板!P194="","",IFERROR(字段输入模板!I194,""))</f>
        <v/>
      </c>
      <c r="D195" s="9" t="str">
        <f>IF(字段输入模板!P194="","",IFERROR(字段输入模板!Q194,""))</f>
        <v/>
      </c>
      <c r="E195" s="9" t="str">
        <f>IF(字段输入模板!P194="","",IFERROR(字段输入模板!L194,""))</f>
        <v/>
      </c>
      <c r="F195" s="9" t="str">
        <f>IF(字段输入模板!P194="","",IFERROR(字段输入模板!J194,""))</f>
        <v/>
      </c>
      <c r="G195" s="9" t="str">
        <f>IF(字段输入模板!P194="","",IFERROR(字段输入模板!K194,""))</f>
        <v/>
      </c>
      <c r="H195" s="12" t="str">
        <f>IF(字段输入模板!P194="","",IFERROR(字段输入模板!M194,""))</f>
        <v/>
      </c>
      <c r="I195" s="12" t="str">
        <f>IF(字段输入模板!P194="","",IFERROR(字段输入模板!N194,""))</f>
        <v/>
      </c>
      <c r="J195" s="12" t="str">
        <f>IF(字段输入模板!P194="","",IFERROR(字段输入模板!E194,""))</f>
        <v/>
      </c>
      <c r="K195" s="12" t="str">
        <f>IF(字段输入模板!P194="","",IFERROR(字段输入模板!O194,""))</f>
        <v/>
      </c>
      <c r="L195" s="9" t="str">
        <f>IF(字段输入模板!P194="","",IFERROR(字段输入模板!A194,""))</f>
        <v/>
      </c>
      <c r="M195" s="9" t="str">
        <f>IF(字段输入模板!P194="","",IFERROR(字段输入模板!F194,""))</f>
        <v/>
      </c>
      <c r="N195" s="9" t="str">
        <f>IF(字段输入模板!P194="","",IFERROR(字段输入模板!G194,""))</f>
        <v/>
      </c>
      <c r="O195" s="12" t="str">
        <f>IF(字段输入模板!P194="","",IFERROR(字段输入模板!H194,""))</f>
        <v/>
      </c>
      <c r="P195" s="13" t="str">
        <f>IF(字段输入模板!P194="","",IFERROR(字段输入模板!R194,""))</f>
        <v/>
      </c>
    </row>
    <row r="196" spans="1:16">
      <c r="A196" s="12" t="str">
        <f>IF(字段输入模板!P195="","",IFERROR(字段输入模板!P195,""))</f>
        <v/>
      </c>
      <c r="B196" s="12" t="str">
        <f>IF(字段输入模板!P195="","",IF(字段输入模板!C195="",IFERROR(字段输入模板!B195,""),IFERROR(字段输入模板!C195,"")))</f>
        <v/>
      </c>
      <c r="C196" s="12" t="str">
        <f>IF(字段输入模板!P195="","",IFERROR(字段输入模板!I195,""))</f>
        <v/>
      </c>
      <c r="D196" s="9" t="str">
        <f>IF(字段输入模板!P195="","",IFERROR(字段输入模板!Q195,""))</f>
        <v/>
      </c>
      <c r="E196" s="9" t="str">
        <f>IF(字段输入模板!P195="","",IFERROR(字段输入模板!L195,""))</f>
        <v/>
      </c>
      <c r="F196" s="9" t="str">
        <f>IF(字段输入模板!P195="","",IFERROR(字段输入模板!J195,""))</f>
        <v/>
      </c>
      <c r="G196" s="9" t="str">
        <f>IF(字段输入模板!P195="","",IFERROR(字段输入模板!K195,""))</f>
        <v/>
      </c>
      <c r="H196" s="12" t="str">
        <f>IF(字段输入模板!P195="","",IFERROR(字段输入模板!M195,""))</f>
        <v/>
      </c>
      <c r="I196" s="12" t="str">
        <f>IF(字段输入模板!P195="","",IFERROR(字段输入模板!N195,""))</f>
        <v/>
      </c>
      <c r="J196" s="12" t="str">
        <f>IF(字段输入模板!P195="","",IFERROR(字段输入模板!E195,""))</f>
        <v/>
      </c>
      <c r="K196" s="12" t="str">
        <f>IF(字段输入模板!P195="","",IFERROR(字段输入模板!O195,""))</f>
        <v/>
      </c>
      <c r="L196" s="9" t="str">
        <f>IF(字段输入模板!P195="","",IFERROR(字段输入模板!A195,""))</f>
        <v/>
      </c>
      <c r="M196" s="9" t="str">
        <f>IF(字段输入模板!P195="","",IFERROR(字段输入模板!F195,""))</f>
        <v/>
      </c>
      <c r="N196" s="9" t="str">
        <f>IF(字段输入模板!P195="","",IFERROR(字段输入模板!G195,""))</f>
        <v/>
      </c>
      <c r="O196" s="12" t="str">
        <f>IF(字段输入模板!P195="","",IFERROR(字段输入模板!H195,""))</f>
        <v/>
      </c>
      <c r="P196" s="13" t="str">
        <f>IF(字段输入模板!P195="","",IFERROR(字段输入模板!R195,""))</f>
        <v/>
      </c>
    </row>
    <row r="197" spans="1:16">
      <c r="A197" s="12" t="str">
        <f>IF(字段输入模板!P196="","",IFERROR(字段输入模板!P196,""))</f>
        <v/>
      </c>
      <c r="B197" s="12" t="str">
        <f>IF(字段输入模板!P196="","",IF(字段输入模板!C196="",IFERROR(字段输入模板!B196,""),IFERROR(字段输入模板!C196,"")))</f>
        <v/>
      </c>
      <c r="C197" s="12" t="str">
        <f>IF(字段输入模板!P196="","",IFERROR(字段输入模板!I196,""))</f>
        <v/>
      </c>
      <c r="D197" s="9" t="str">
        <f>IF(字段输入模板!P196="","",IFERROR(字段输入模板!Q196,""))</f>
        <v/>
      </c>
      <c r="E197" s="9" t="str">
        <f>IF(字段输入模板!P196="","",IFERROR(字段输入模板!L196,""))</f>
        <v/>
      </c>
      <c r="F197" s="9" t="str">
        <f>IF(字段输入模板!P196="","",IFERROR(字段输入模板!J196,""))</f>
        <v/>
      </c>
      <c r="G197" s="9" t="str">
        <f>IF(字段输入模板!P196="","",IFERROR(字段输入模板!K196,""))</f>
        <v/>
      </c>
      <c r="H197" s="12" t="str">
        <f>IF(字段输入模板!P196="","",IFERROR(字段输入模板!M196,""))</f>
        <v/>
      </c>
      <c r="I197" s="12" t="str">
        <f>IF(字段输入模板!P196="","",IFERROR(字段输入模板!N196,""))</f>
        <v/>
      </c>
      <c r="J197" s="12" t="str">
        <f>IF(字段输入模板!P196="","",IFERROR(字段输入模板!E196,""))</f>
        <v/>
      </c>
      <c r="K197" s="12" t="str">
        <f>IF(字段输入模板!P196="","",IFERROR(字段输入模板!O196,""))</f>
        <v/>
      </c>
      <c r="L197" s="9" t="str">
        <f>IF(字段输入模板!P196="","",IFERROR(字段输入模板!A196,""))</f>
        <v/>
      </c>
      <c r="M197" s="9" t="str">
        <f>IF(字段输入模板!P196="","",IFERROR(字段输入模板!F196,""))</f>
        <v/>
      </c>
      <c r="N197" s="9" t="str">
        <f>IF(字段输入模板!P196="","",IFERROR(字段输入模板!G196,""))</f>
        <v/>
      </c>
      <c r="O197" s="12" t="str">
        <f>IF(字段输入模板!P196="","",IFERROR(字段输入模板!H196,""))</f>
        <v/>
      </c>
      <c r="P197" s="13" t="str">
        <f>IF(字段输入模板!P196="","",IFERROR(字段输入模板!R196,""))</f>
        <v/>
      </c>
    </row>
    <row r="198" spans="1:16">
      <c r="A198" s="12" t="str">
        <f>IF(字段输入模板!P197="","",IFERROR(字段输入模板!P197,""))</f>
        <v/>
      </c>
      <c r="B198" s="12" t="str">
        <f>IF(字段输入模板!P197="","",IF(字段输入模板!C197="",IFERROR(字段输入模板!B197,""),IFERROR(字段输入模板!C197,"")))</f>
        <v/>
      </c>
      <c r="C198" s="12" t="str">
        <f>IF(字段输入模板!P197="","",IFERROR(字段输入模板!I197,""))</f>
        <v/>
      </c>
      <c r="D198" s="9" t="str">
        <f>IF(字段输入模板!P197="","",IFERROR(字段输入模板!Q197,""))</f>
        <v/>
      </c>
      <c r="E198" s="9" t="str">
        <f>IF(字段输入模板!P197="","",IFERROR(字段输入模板!L197,""))</f>
        <v/>
      </c>
      <c r="F198" s="9" t="str">
        <f>IF(字段输入模板!P197="","",IFERROR(字段输入模板!J197,""))</f>
        <v/>
      </c>
      <c r="G198" s="9" t="str">
        <f>IF(字段输入模板!P197="","",IFERROR(字段输入模板!K197,""))</f>
        <v/>
      </c>
      <c r="H198" s="12" t="str">
        <f>IF(字段输入模板!P197="","",IFERROR(字段输入模板!M197,""))</f>
        <v/>
      </c>
      <c r="I198" s="12" t="str">
        <f>IF(字段输入模板!P197="","",IFERROR(字段输入模板!N197,""))</f>
        <v/>
      </c>
      <c r="J198" s="12" t="str">
        <f>IF(字段输入模板!P197="","",IFERROR(字段输入模板!E197,""))</f>
        <v/>
      </c>
      <c r="K198" s="12" t="str">
        <f>IF(字段输入模板!P197="","",IFERROR(字段输入模板!O197,""))</f>
        <v/>
      </c>
      <c r="L198" s="9" t="str">
        <f>IF(字段输入模板!P197="","",IFERROR(字段输入模板!A197,""))</f>
        <v/>
      </c>
      <c r="M198" s="9" t="str">
        <f>IF(字段输入模板!P197="","",IFERROR(字段输入模板!F197,""))</f>
        <v/>
      </c>
      <c r="N198" s="9" t="str">
        <f>IF(字段输入模板!P197="","",IFERROR(字段输入模板!G197,""))</f>
        <v/>
      </c>
      <c r="O198" s="12" t="str">
        <f>IF(字段输入模板!P197="","",IFERROR(字段输入模板!H197,""))</f>
        <v/>
      </c>
      <c r="P198" s="13" t="str">
        <f>IF(字段输入模板!P197="","",IFERROR(字段输入模板!R197,""))</f>
        <v/>
      </c>
    </row>
    <row r="199" spans="1:16">
      <c r="A199" s="12" t="str">
        <f>IF(字段输入模板!P198="","",IFERROR(字段输入模板!P198,""))</f>
        <v/>
      </c>
      <c r="B199" s="12" t="str">
        <f>IF(字段输入模板!P198="","",IF(字段输入模板!C198="",IFERROR(字段输入模板!B198,""),IFERROR(字段输入模板!C198,"")))</f>
        <v/>
      </c>
      <c r="C199" s="12" t="str">
        <f>IF(字段输入模板!P198="","",IFERROR(字段输入模板!I198,""))</f>
        <v/>
      </c>
      <c r="D199" s="9" t="str">
        <f>IF(字段输入模板!P198="","",IFERROR(字段输入模板!Q198,""))</f>
        <v/>
      </c>
      <c r="E199" s="9" t="str">
        <f>IF(字段输入模板!P198="","",IFERROR(字段输入模板!L198,""))</f>
        <v/>
      </c>
      <c r="F199" s="9" t="str">
        <f>IF(字段输入模板!P198="","",IFERROR(字段输入模板!J198,""))</f>
        <v/>
      </c>
      <c r="G199" s="9" t="str">
        <f>IF(字段输入模板!P198="","",IFERROR(字段输入模板!K198,""))</f>
        <v/>
      </c>
      <c r="H199" s="12" t="str">
        <f>IF(字段输入模板!P198="","",IFERROR(字段输入模板!M198,""))</f>
        <v/>
      </c>
      <c r="I199" s="12" t="str">
        <f>IF(字段输入模板!P198="","",IFERROR(字段输入模板!N198,""))</f>
        <v/>
      </c>
      <c r="J199" s="12" t="str">
        <f>IF(字段输入模板!P198="","",IFERROR(字段输入模板!E198,""))</f>
        <v/>
      </c>
      <c r="K199" s="12" t="str">
        <f>IF(字段输入模板!P198="","",IFERROR(字段输入模板!O198,""))</f>
        <v/>
      </c>
      <c r="L199" s="9" t="str">
        <f>IF(字段输入模板!P198="","",IFERROR(字段输入模板!A198,""))</f>
        <v/>
      </c>
      <c r="M199" s="9" t="str">
        <f>IF(字段输入模板!P198="","",IFERROR(字段输入模板!F198,""))</f>
        <v/>
      </c>
      <c r="N199" s="9" t="str">
        <f>IF(字段输入模板!P198="","",IFERROR(字段输入模板!G198,""))</f>
        <v/>
      </c>
      <c r="O199" s="12" t="str">
        <f>IF(字段输入模板!P198="","",IFERROR(字段输入模板!H198,""))</f>
        <v/>
      </c>
      <c r="P199" s="13" t="str">
        <f>IF(字段输入模板!P198="","",IFERROR(字段输入模板!R198,""))</f>
        <v/>
      </c>
    </row>
    <row r="200" spans="1:16">
      <c r="A200" s="12" t="str">
        <f>IF(字段输入模板!P199="","",IFERROR(字段输入模板!P199,""))</f>
        <v/>
      </c>
      <c r="B200" s="12" t="str">
        <f>IF(字段输入模板!P199="","",IF(字段输入模板!C199="",IFERROR(字段输入模板!B199,""),IFERROR(字段输入模板!C199,"")))</f>
        <v/>
      </c>
      <c r="C200" s="12" t="str">
        <f>IF(字段输入模板!P199="","",IFERROR(字段输入模板!I199,""))</f>
        <v/>
      </c>
      <c r="D200" s="9" t="str">
        <f>IF(字段输入模板!P199="","",IFERROR(字段输入模板!Q199,""))</f>
        <v/>
      </c>
      <c r="E200" s="9" t="str">
        <f>IF(字段输入模板!P199="","",IFERROR(字段输入模板!L199,""))</f>
        <v/>
      </c>
      <c r="F200" s="9" t="str">
        <f>IF(字段输入模板!P199="","",IFERROR(字段输入模板!J199,""))</f>
        <v/>
      </c>
      <c r="G200" s="9" t="str">
        <f>IF(字段输入模板!P199="","",IFERROR(字段输入模板!K199,""))</f>
        <v/>
      </c>
      <c r="H200" s="12" t="str">
        <f>IF(字段输入模板!P199="","",IFERROR(字段输入模板!M199,""))</f>
        <v/>
      </c>
      <c r="I200" s="12" t="str">
        <f>IF(字段输入模板!P199="","",IFERROR(字段输入模板!N199,""))</f>
        <v/>
      </c>
      <c r="J200" s="12" t="str">
        <f>IF(字段输入模板!P199="","",IFERROR(字段输入模板!E199,""))</f>
        <v/>
      </c>
      <c r="K200" s="12" t="str">
        <f>IF(字段输入模板!P199="","",IFERROR(字段输入模板!O199,""))</f>
        <v/>
      </c>
      <c r="L200" s="9" t="str">
        <f>IF(字段输入模板!P199="","",IFERROR(字段输入模板!A199,""))</f>
        <v/>
      </c>
      <c r="M200" s="9" t="str">
        <f>IF(字段输入模板!P199="","",IFERROR(字段输入模板!F199,""))</f>
        <v/>
      </c>
      <c r="N200" s="9" t="str">
        <f>IF(字段输入模板!P199="","",IFERROR(字段输入模板!G199,""))</f>
        <v/>
      </c>
      <c r="O200" s="12" t="str">
        <f>IF(字段输入模板!P199="","",IFERROR(字段输入模板!H199,""))</f>
        <v/>
      </c>
      <c r="P200" s="13" t="str">
        <f>IF(字段输入模板!P199="","",IFERROR(字段输入模板!R199,""))</f>
        <v/>
      </c>
    </row>
    <row r="201" spans="1:16">
      <c r="A201" s="12" t="str">
        <f>IF(字段输入模板!P200="","",IFERROR(字段输入模板!P200,""))</f>
        <v/>
      </c>
      <c r="B201" s="12" t="str">
        <f>IF(字段输入模板!P200="","",IF(字段输入模板!C200="",IFERROR(字段输入模板!B200,""),IFERROR(字段输入模板!C200,"")))</f>
        <v/>
      </c>
      <c r="C201" s="12" t="str">
        <f>IF(字段输入模板!P200="","",IFERROR(字段输入模板!I200,""))</f>
        <v/>
      </c>
      <c r="D201" s="9" t="str">
        <f>IF(字段输入模板!P200="","",IFERROR(字段输入模板!Q200,""))</f>
        <v/>
      </c>
      <c r="E201" s="9" t="str">
        <f>IF(字段输入模板!P200="","",IFERROR(字段输入模板!L200,""))</f>
        <v/>
      </c>
      <c r="F201" s="9" t="str">
        <f>IF(字段输入模板!P200="","",IFERROR(字段输入模板!J200,""))</f>
        <v/>
      </c>
      <c r="G201" s="9" t="str">
        <f>IF(字段输入模板!P200="","",IFERROR(字段输入模板!K200,""))</f>
        <v/>
      </c>
      <c r="H201" s="12" t="str">
        <f>IF(字段输入模板!P200="","",IFERROR(字段输入模板!M200,""))</f>
        <v/>
      </c>
      <c r="I201" s="12" t="str">
        <f>IF(字段输入模板!P200="","",IFERROR(字段输入模板!N200,""))</f>
        <v/>
      </c>
      <c r="J201" s="12" t="str">
        <f>IF(字段输入模板!P200="","",IFERROR(字段输入模板!E200,""))</f>
        <v/>
      </c>
      <c r="K201" s="12" t="str">
        <f>IF(字段输入模板!P200="","",IFERROR(字段输入模板!O200,""))</f>
        <v/>
      </c>
      <c r="L201" s="9" t="str">
        <f>IF(字段输入模板!P200="","",IFERROR(字段输入模板!A200,""))</f>
        <v/>
      </c>
      <c r="M201" s="9" t="str">
        <f>IF(字段输入模板!P200="","",IFERROR(字段输入模板!F200,""))</f>
        <v/>
      </c>
      <c r="N201" s="9" t="str">
        <f>IF(字段输入模板!P200="","",IFERROR(字段输入模板!G200,""))</f>
        <v/>
      </c>
      <c r="O201" s="12" t="str">
        <f>IF(字段输入模板!P200="","",IFERROR(字段输入模板!H200,""))</f>
        <v/>
      </c>
      <c r="P201" s="13" t="str">
        <f>IF(字段输入模板!P200="","",IFERROR(字段输入模板!R200,""))</f>
        <v/>
      </c>
    </row>
    <row r="202" spans="1:16">
      <c r="A202" s="12" t="str">
        <f>IF(字段输入模板!P201="","",IFERROR(字段输入模板!P201,""))</f>
        <v/>
      </c>
      <c r="B202" s="12" t="str">
        <f>IF(字段输入模板!P201="","",IF(字段输入模板!C201="",IFERROR(字段输入模板!B201,""),IFERROR(字段输入模板!C201,"")))</f>
        <v/>
      </c>
      <c r="C202" s="12" t="str">
        <f>IF(字段输入模板!P201="","",IFERROR(字段输入模板!I201,""))</f>
        <v/>
      </c>
      <c r="D202" s="9" t="str">
        <f>IF(字段输入模板!P201="","",IFERROR(字段输入模板!Q201,""))</f>
        <v/>
      </c>
      <c r="E202" s="9" t="str">
        <f>IF(字段输入模板!P201="","",IFERROR(字段输入模板!L201,""))</f>
        <v/>
      </c>
      <c r="F202" s="9" t="str">
        <f>IF(字段输入模板!P201="","",IFERROR(字段输入模板!J201,""))</f>
        <v/>
      </c>
      <c r="G202" s="9" t="str">
        <f>IF(字段输入模板!P201="","",IFERROR(字段输入模板!K201,""))</f>
        <v/>
      </c>
      <c r="H202" s="12" t="str">
        <f>IF(字段输入模板!P201="","",IFERROR(字段输入模板!M201,""))</f>
        <v/>
      </c>
      <c r="I202" s="12" t="str">
        <f>IF(字段输入模板!P201="","",IFERROR(字段输入模板!N201,""))</f>
        <v/>
      </c>
      <c r="J202" s="12" t="str">
        <f>IF(字段输入模板!P201="","",IFERROR(字段输入模板!E201,""))</f>
        <v/>
      </c>
      <c r="K202" s="12" t="str">
        <f>IF(字段输入模板!P201="","",IFERROR(字段输入模板!O201,""))</f>
        <v/>
      </c>
      <c r="L202" s="9" t="str">
        <f>IF(字段输入模板!P201="","",IFERROR(字段输入模板!A201,""))</f>
        <v/>
      </c>
      <c r="M202" s="9" t="str">
        <f>IF(字段输入模板!P201="","",IFERROR(字段输入模板!F201,""))</f>
        <v/>
      </c>
      <c r="N202" s="9" t="str">
        <f>IF(字段输入模板!P201="","",IFERROR(字段输入模板!G201,""))</f>
        <v/>
      </c>
      <c r="O202" s="12" t="str">
        <f>IF(字段输入模板!P201="","",IFERROR(字段输入模板!H201,""))</f>
        <v/>
      </c>
      <c r="P202" s="13" t="str">
        <f>IF(字段输入模板!P201="","",IFERROR(字段输入模板!R201,""))</f>
        <v/>
      </c>
    </row>
    <row r="203" spans="1:16">
      <c r="A203" s="12" t="str">
        <f>IF(字段输入模板!P202="","",IFERROR(字段输入模板!P202,""))</f>
        <v/>
      </c>
      <c r="B203" s="12" t="str">
        <f>IF(字段输入模板!P202="","",IF(字段输入模板!C202="",IFERROR(字段输入模板!B202,""),IFERROR(字段输入模板!C202,"")))</f>
        <v/>
      </c>
      <c r="C203" s="12" t="str">
        <f>IF(字段输入模板!P202="","",IFERROR(字段输入模板!I202,""))</f>
        <v/>
      </c>
      <c r="D203" s="9" t="str">
        <f>IF(字段输入模板!P202="","",IFERROR(字段输入模板!Q202,""))</f>
        <v/>
      </c>
      <c r="E203" s="9" t="str">
        <f>IF(字段输入模板!P202="","",IFERROR(字段输入模板!L202,""))</f>
        <v/>
      </c>
      <c r="F203" s="9" t="str">
        <f>IF(字段输入模板!P202="","",IFERROR(字段输入模板!J202,""))</f>
        <v/>
      </c>
      <c r="G203" s="9" t="str">
        <f>IF(字段输入模板!P202="","",IFERROR(字段输入模板!K202,""))</f>
        <v/>
      </c>
      <c r="H203" s="12" t="str">
        <f>IF(字段输入模板!P202="","",IFERROR(字段输入模板!M202,""))</f>
        <v/>
      </c>
      <c r="I203" s="12" t="str">
        <f>IF(字段输入模板!P202="","",IFERROR(字段输入模板!N202,""))</f>
        <v/>
      </c>
      <c r="J203" s="12" t="str">
        <f>IF(字段输入模板!P202="","",IFERROR(字段输入模板!E202,""))</f>
        <v/>
      </c>
      <c r="K203" s="12" t="str">
        <f>IF(字段输入模板!P202="","",IFERROR(字段输入模板!O202,""))</f>
        <v/>
      </c>
      <c r="L203" s="9" t="str">
        <f>IF(字段输入模板!P202="","",IFERROR(字段输入模板!A202,""))</f>
        <v/>
      </c>
      <c r="M203" s="9" t="str">
        <f>IF(字段输入模板!P202="","",IFERROR(字段输入模板!F202,""))</f>
        <v/>
      </c>
      <c r="N203" s="9" t="str">
        <f>IF(字段输入模板!P202="","",IFERROR(字段输入模板!G202,""))</f>
        <v/>
      </c>
      <c r="O203" s="12" t="str">
        <f>IF(字段输入模板!P202="","",IFERROR(字段输入模板!H202,""))</f>
        <v/>
      </c>
      <c r="P203" s="13" t="str">
        <f>IF(字段输入模板!P202="","",IFERROR(字段输入模板!R202,""))</f>
        <v/>
      </c>
    </row>
    <row r="204" spans="1:16">
      <c r="A204" s="12" t="str">
        <f>IF(字段输入模板!P203="","",IFERROR(字段输入模板!P203,""))</f>
        <v/>
      </c>
      <c r="B204" s="12" t="str">
        <f>IF(字段输入模板!P203="","",IF(字段输入模板!C203="",IFERROR(字段输入模板!B203,""),IFERROR(字段输入模板!C203,"")))</f>
        <v/>
      </c>
      <c r="C204" s="12" t="str">
        <f>IF(字段输入模板!P203="","",IFERROR(字段输入模板!I203,""))</f>
        <v/>
      </c>
      <c r="D204" s="9" t="str">
        <f>IF(字段输入模板!P203="","",IFERROR(字段输入模板!Q203,""))</f>
        <v/>
      </c>
      <c r="E204" s="9" t="str">
        <f>IF(字段输入模板!P203="","",IFERROR(字段输入模板!L203,""))</f>
        <v/>
      </c>
      <c r="F204" s="9" t="str">
        <f>IF(字段输入模板!P203="","",IFERROR(字段输入模板!J203,""))</f>
        <v/>
      </c>
      <c r="G204" s="9" t="str">
        <f>IF(字段输入模板!P203="","",IFERROR(字段输入模板!K203,""))</f>
        <v/>
      </c>
      <c r="H204" s="12" t="str">
        <f>IF(字段输入模板!P203="","",IFERROR(字段输入模板!M203,""))</f>
        <v/>
      </c>
      <c r="I204" s="12" t="str">
        <f>IF(字段输入模板!P203="","",IFERROR(字段输入模板!N203,""))</f>
        <v/>
      </c>
      <c r="J204" s="12" t="str">
        <f>IF(字段输入模板!P203="","",IFERROR(字段输入模板!E203,""))</f>
        <v/>
      </c>
      <c r="K204" s="12" t="str">
        <f>IF(字段输入模板!P203="","",IFERROR(字段输入模板!O203,""))</f>
        <v/>
      </c>
      <c r="L204" s="9" t="str">
        <f>IF(字段输入模板!P203="","",IFERROR(字段输入模板!A203,""))</f>
        <v/>
      </c>
      <c r="M204" s="9" t="str">
        <f>IF(字段输入模板!P203="","",IFERROR(字段输入模板!F203,""))</f>
        <v/>
      </c>
      <c r="N204" s="9" t="str">
        <f>IF(字段输入模板!P203="","",IFERROR(字段输入模板!G203,""))</f>
        <v/>
      </c>
      <c r="O204" s="12" t="str">
        <f>IF(字段输入模板!P203="","",IFERROR(字段输入模板!H203,""))</f>
        <v/>
      </c>
      <c r="P204" s="13" t="str">
        <f>IF(字段输入模板!P203="","",IFERROR(字段输入模板!R203,""))</f>
        <v/>
      </c>
    </row>
    <row r="205" spans="1:16">
      <c r="A205" s="12" t="str">
        <f>IF(字段输入模板!P204="","",IFERROR(字段输入模板!P204,""))</f>
        <v/>
      </c>
      <c r="B205" s="12" t="str">
        <f>IF(字段输入模板!P204="","",IF(字段输入模板!C204="",IFERROR(字段输入模板!B204,""),IFERROR(字段输入模板!C204,"")))</f>
        <v/>
      </c>
      <c r="C205" s="12" t="str">
        <f>IF(字段输入模板!P204="","",IFERROR(字段输入模板!I204,""))</f>
        <v/>
      </c>
      <c r="D205" s="9" t="str">
        <f>IF(字段输入模板!P204="","",IFERROR(字段输入模板!Q204,""))</f>
        <v/>
      </c>
      <c r="E205" s="9" t="str">
        <f>IF(字段输入模板!P204="","",IFERROR(字段输入模板!L204,""))</f>
        <v/>
      </c>
      <c r="F205" s="9" t="str">
        <f>IF(字段输入模板!P204="","",IFERROR(字段输入模板!J204,""))</f>
        <v/>
      </c>
      <c r="G205" s="9" t="str">
        <f>IF(字段输入模板!P204="","",IFERROR(字段输入模板!K204,""))</f>
        <v/>
      </c>
      <c r="H205" s="12" t="str">
        <f>IF(字段输入模板!P204="","",IFERROR(字段输入模板!M204,""))</f>
        <v/>
      </c>
      <c r="I205" s="12" t="str">
        <f>IF(字段输入模板!P204="","",IFERROR(字段输入模板!N204,""))</f>
        <v/>
      </c>
      <c r="J205" s="12" t="str">
        <f>IF(字段输入模板!P204="","",IFERROR(字段输入模板!E204,""))</f>
        <v/>
      </c>
      <c r="K205" s="12" t="str">
        <f>IF(字段输入模板!P204="","",IFERROR(字段输入模板!O204,""))</f>
        <v/>
      </c>
      <c r="L205" s="9" t="str">
        <f>IF(字段输入模板!P204="","",IFERROR(字段输入模板!A204,""))</f>
        <v/>
      </c>
      <c r="M205" s="9" t="str">
        <f>IF(字段输入模板!P204="","",IFERROR(字段输入模板!F204,""))</f>
        <v/>
      </c>
      <c r="N205" s="9" t="str">
        <f>IF(字段输入模板!P204="","",IFERROR(字段输入模板!G204,""))</f>
        <v/>
      </c>
      <c r="O205" s="12" t="str">
        <f>IF(字段输入模板!P204="","",IFERROR(字段输入模板!H204,""))</f>
        <v/>
      </c>
      <c r="P205" s="13" t="str">
        <f>IF(字段输入模板!P204="","",IFERROR(字段输入模板!R204,""))</f>
        <v/>
      </c>
    </row>
    <row r="206" spans="1:16">
      <c r="A206" s="12" t="str">
        <f>IF(字段输入模板!P205="","",IFERROR(字段输入模板!P205,""))</f>
        <v/>
      </c>
      <c r="B206" s="12" t="str">
        <f>IF(字段输入模板!P205="","",IF(字段输入模板!C205="",IFERROR(字段输入模板!B205,""),IFERROR(字段输入模板!C205,"")))</f>
        <v/>
      </c>
      <c r="C206" s="12" t="str">
        <f>IF(字段输入模板!P205="","",IFERROR(字段输入模板!I205,""))</f>
        <v/>
      </c>
      <c r="D206" s="9" t="str">
        <f>IF(字段输入模板!P205="","",IFERROR(字段输入模板!Q205,""))</f>
        <v/>
      </c>
      <c r="E206" s="9" t="str">
        <f>IF(字段输入模板!P205="","",IFERROR(字段输入模板!L205,""))</f>
        <v/>
      </c>
      <c r="F206" s="9" t="str">
        <f>IF(字段输入模板!P205="","",IFERROR(字段输入模板!J205,""))</f>
        <v/>
      </c>
      <c r="G206" s="9" t="str">
        <f>IF(字段输入模板!P205="","",IFERROR(字段输入模板!K205,""))</f>
        <v/>
      </c>
      <c r="H206" s="12" t="str">
        <f>IF(字段输入模板!P205="","",IFERROR(字段输入模板!M205,""))</f>
        <v/>
      </c>
      <c r="I206" s="12" t="str">
        <f>IF(字段输入模板!P205="","",IFERROR(字段输入模板!N205,""))</f>
        <v/>
      </c>
      <c r="J206" s="12" t="str">
        <f>IF(字段输入模板!P205="","",IFERROR(字段输入模板!E205,""))</f>
        <v/>
      </c>
      <c r="K206" s="12" t="str">
        <f>IF(字段输入模板!P205="","",IFERROR(字段输入模板!O205,""))</f>
        <v/>
      </c>
      <c r="L206" s="9" t="str">
        <f>IF(字段输入模板!P205="","",IFERROR(字段输入模板!A205,""))</f>
        <v/>
      </c>
      <c r="M206" s="9" t="str">
        <f>IF(字段输入模板!P205="","",IFERROR(字段输入模板!F205,""))</f>
        <v/>
      </c>
      <c r="N206" s="9" t="str">
        <f>IF(字段输入模板!P205="","",IFERROR(字段输入模板!G205,""))</f>
        <v/>
      </c>
      <c r="O206" s="12" t="str">
        <f>IF(字段输入模板!P205="","",IFERROR(字段输入模板!H205,""))</f>
        <v/>
      </c>
      <c r="P206" s="13" t="str">
        <f>IF(字段输入模板!P205="","",IFERROR(字段输入模板!R205,""))</f>
        <v/>
      </c>
    </row>
    <row r="207" spans="1:16">
      <c r="A207" s="12" t="str">
        <f>IF(字段输入模板!P206="","",IFERROR(字段输入模板!P206,""))</f>
        <v/>
      </c>
      <c r="B207" s="12" t="str">
        <f>IF(字段输入模板!P206="","",IF(字段输入模板!C206="",IFERROR(字段输入模板!B206,""),IFERROR(字段输入模板!C206,"")))</f>
        <v/>
      </c>
      <c r="C207" s="12" t="str">
        <f>IF(字段输入模板!P206="","",IFERROR(字段输入模板!I206,""))</f>
        <v/>
      </c>
      <c r="D207" s="9" t="str">
        <f>IF(字段输入模板!P206="","",IFERROR(字段输入模板!Q206,""))</f>
        <v/>
      </c>
      <c r="E207" s="9" t="str">
        <f>IF(字段输入模板!P206="","",IFERROR(字段输入模板!L206,""))</f>
        <v/>
      </c>
      <c r="F207" s="9" t="str">
        <f>IF(字段输入模板!P206="","",IFERROR(字段输入模板!J206,""))</f>
        <v/>
      </c>
      <c r="G207" s="9" t="str">
        <f>IF(字段输入模板!P206="","",IFERROR(字段输入模板!K206,""))</f>
        <v/>
      </c>
      <c r="H207" s="12" t="str">
        <f>IF(字段输入模板!P206="","",IFERROR(字段输入模板!M206,""))</f>
        <v/>
      </c>
      <c r="I207" s="12" t="str">
        <f>IF(字段输入模板!P206="","",IFERROR(字段输入模板!N206,""))</f>
        <v/>
      </c>
      <c r="J207" s="12" t="str">
        <f>IF(字段输入模板!P206="","",IFERROR(字段输入模板!E206,""))</f>
        <v/>
      </c>
      <c r="K207" s="12" t="str">
        <f>IF(字段输入模板!P206="","",IFERROR(字段输入模板!O206,""))</f>
        <v/>
      </c>
      <c r="L207" s="9" t="str">
        <f>IF(字段输入模板!P206="","",IFERROR(字段输入模板!A206,""))</f>
        <v/>
      </c>
      <c r="M207" s="9" t="str">
        <f>IF(字段输入模板!P206="","",IFERROR(字段输入模板!F206,""))</f>
        <v/>
      </c>
      <c r="N207" s="9" t="str">
        <f>IF(字段输入模板!P206="","",IFERROR(字段输入模板!G206,""))</f>
        <v/>
      </c>
      <c r="O207" s="12" t="str">
        <f>IF(字段输入模板!P206="","",IFERROR(字段输入模板!H206,""))</f>
        <v/>
      </c>
      <c r="P207" s="13" t="str">
        <f>IF(字段输入模板!P206="","",IFERROR(字段输入模板!R206,""))</f>
        <v/>
      </c>
    </row>
    <row r="208" spans="1:16">
      <c r="A208" s="12" t="str">
        <f>IF(字段输入模板!P207="","",IFERROR(字段输入模板!P207,""))</f>
        <v/>
      </c>
      <c r="B208" s="12" t="str">
        <f>IF(字段输入模板!P207="","",IF(字段输入模板!C207="",IFERROR(字段输入模板!B207,""),IFERROR(字段输入模板!C207,"")))</f>
        <v/>
      </c>
      <c r="C208" s="12" t="str">
        <f>IF(字段输入模板!P207="","",IFERROR(字段输入模板!I207,""))</f>
        <v/>
      </c>
      <c r="D208" s="9" t="str">
        <f>IF(字段输入模板!P207="","",IFERROR(字段输入模板!Q207,""))</f>
        <v/>
      </c>
      <c r="E208" s="9" t="str">
        <f>IF(字段输入模板!P207="","",IFERROR(字段输入模板!L207,""))</f>
        <v/>
      </c>
      <c r="F208" s="9" t="str">
        <f>IF(字段输入模板!P207="","",IFERROR(字段输入模板!J207,""))</f>
        <v/>
      </c>
      <c r="G208" s="9" t="str">
        <f>IF(字段输入模板!P207="","",IFERROR(字段输入模板!K207,""))</f>
        <v/>
      </c>
      <c r="H208" s="12" t="str">
        <f>IF(字段输入模板!P207="","",IFERROR(字段输入模板!M207,""))</f>
        <v/>
      </c>
      <c r="I208" s="12" t="str">
        <f>IF(字段输入模板!P207="","",IFERROR(字段输入模板!N207,""))</f>
        <v/>
      </c>
      <c r="J208" s="12" t="str">
        <f>IF(字段输入模板!P207="","",IFERROR(字段输入模板!E207,""))</f>
        <v/>
      </c>
      <c r="K208" s="12" t="str">
        <f>IF(字段输入模板!P207="","",IFERROR(字段输入模板!O207,""))</f>
        <v/>
      </c>
      <c r="L208" s="9" t="str">
        <f>IF(字段输入模板!P207="","",IFERROR(字段输入模板!A207,""))</f>
        <v/>
      </c>
      <c r="M208" s="9" t="str">
        <f>IF(字段输入模板!P207="","",IFERROR(字段输入模板!F207,""))</f>
        <v/>
      </c>
      <c r="N208" s="9" t="str">
        <f>IF(字段输入模板!P207="","",IFERROR(字段输入模板!G207,""))</f>
        <v/>
      </c>
      <c r="O208" s="12" t="str">
        <f>IF(字段输入模板!P207="","",IFERROR(字段输入模板!H207,""))</f>
        <v/>
      </c>
      <c r="P208" s="13" t="str">
        <f>IF(字段输入模板!P207="","",IFERROR(字段输入模板!R207,""))</f>
        <v/>
      </c>
    </row>
    <row r="209" spans="1:16">
      <c r="A209" s="12" t="str">
        <f>IF(字段输入模板!P208="","",IFERROR(字段输入模板!P208,""))</f>
        <v/>
      </c>
      <c r="B209" s="12" t="str">
        <f>IF(字段输入模板!P208="","",IF(字段输入模板!C208="",IFERROR(字段输入模板!B208,""),IFERROR(字段输入模板!C208,"")))</f>
        <v/>
      </c>
      <c r="C209" s="12" t="str">
        <f>IF(字段输入模板!P208="","",IFERROR(字段输入模板!I208,""))</f>
        <v/>
      </c>
      <c r="D209" s="9" t="str">
        <f>IF(字段输入模板!P208="","",IFERROR(字段输入模板!Q208,""))</f>
        <v/>
      </c>
      <c r="E209" s="9" t="str">
        <f>IF(字段输入模板!P208="","",IFERROR(字段输入模板!L208,""))</f>
        <v/>
      </c>
      <c r="F209" s="9" t="str">
        <f>IF(字段输入模板!P208="","",IFERROR(字段输入模板!J208,""))</f>
        <v/>
      </c>
      <c r="G209" s="9" t="str">
        <f>IF(字段输入模板!P208="","",IFERROR(字段输入模板!K208,""))</f>
        <v/>
      </c>
      <c r="H209" s="12" t="str">
        <f>IF(字段输入模板!P208="","",IFERROR(字段输入模板!M208,""))</f>
        <v/>
      </c>
      <c r="I209" s="12" t="str">
        <f>IF(字段输入模板!P208="","",IFERROR(字段输入模板!N208,""))</f>
        <v/>
      </c>
      <c r="J209" s="12" t="str">
        <f>IF(字段输入模板!P208="","",IFERROR(字段输入模板!E208,""))</f>
        <v/>
      </c>
      <c r="K209" s="12" t="str">
        <f>IF(字段输入模板!P208="","",IFERROR(字段输入模板!O208,""))</f>
        <v/>
      </c>
      <c r="L209" s="9" t="str">
        <f>IF(字段输入模板!P208="","",IFERROR(字段输入模板!A208,""))</f>
        <v/>
      </c>
      <c r="M209" s="9" t="str">
        <f>IF(字段输入模板!P208="","",IFERROR(字段输入模板!F208,""))</f>
        <v/>
      </c>
      <c r="N209" s="9" t="str">
        <f>IF(字段输入模板!P208="","",IFERROR(字段输入模板!G208,""))</f>
        <v/>
      </c>
      <c r="O209" s="12" t="str">
        <f>IF(字段输入模板!P208="","",IFERROR(字段输入模板!H208,""))</f>
        <v/>
      </c>
      <c r="P209" s="13" t="str">
        <f>IF(字段输入模板!P208="","",IFERROR(字段输入模板!R208,""))</f>
        <v/>
      </c>
    </row>
    <row r="210" spans="1:16">
      <c r="A210" s="12" t="str">
        <f>IF(字段输入模板!P209="","",IFERROR(字段输入模板!P209,""))</f>
        <v/>
      </c>
      <c r="B210" s="12" t="str">
        <f>IF(字段输入模板!P209="","",IF(字段输入模板!C209="",IFERROR(字段输入模板!B209,""),IFERROR(字段输入模板!C209,"")))</f>
        <v/>
      </c>
      <c r="C210" s="12" t="str">
        <f>IF(字段输入模板!P209="","",IFERROR(字段输入模板!I209,""))</f>
        <v/>
      </c>
      <c r="D210" s="9" t="str">
        <f>IF(字段输入模板!P209="","",IFERROR(字段输入模板!Q209,""))</f>
        <v/>
      </c>
      <c r="E210" s="9" t="str">
        <f>IF(字段输入模板!P209="","",IFERROR(字段输入模板!L209,""))</f>
        <v/>
      </c>
      <c r="F210" s="9" t="str">
        <f>IF(字段输入模板!P209="","",IFERROR(字段输入模板!J209,""))</f>
        <v/>
      </c>
      <c r="G210" s="9" t="str">
        <f>IF(字段输入模板!P209="","",IFERROR(字段输入模板!K209,""))</f>
        <v/>
      </c>
      <c r="H210" s="12" t="str">
        <f>IF(字段输入模板!P209="","",IFERROR(字段输入模板!M209,""))</f>
        <v/>
      </c>
      <c r="I210" s="12" t="str">
        <f>IF(字段输入模板!P209="","",IFERROR(字段输入模板!N209,""))</f>
        <v/>
      </c>
      <c r="J210" s="12" t="str">
        <f>IF(字段输入模板!P209="","",IFERROR(字段输入模板!E209,""))</f>
        <v/>
      </c>
      <c r="K210" s="12" t="str">
        <f>IF(字段输入模板!P209="","",IFERROR(字段输入模板!O209,""))</f>
        <v/>
      </c>
      <c r="L210" s="9" t="str">
        <f>IF(字段输入模板!P209="","",IFERROR(字段输入模板!A209,""))</f>
        <v/>
      </c>
      <c r="M210" s="9" t="str">
        <f>IF(字段输入模板!P209="","",IFERROR(字段输入模板!F209,""))</f>
        <v/>
      </c>
      <c r="N210" s="9" t="str">
        <f>IF(字段输入模板!P209="","",IFERROR(字段输入模板!G209,""))</f>
        <v/>
      </c>
      <c r="O210" s="12" t="str">
        <f>IF(字段输入模板!P209="","",IFERROR(字段输入模板!H209,""))</f>
        <v/>
      </c>
      <c r="P210" s="13" t="str">
        <f>IF(字段输入模板!P209="","",IFERROR(字段输入模板!R209,""))</f>
        <v/>
      </c>
    </row>
    <row r="211" spans="1:16">
      <c r="A211" s="12" t="str">
        <f>IF(字段输入模板!P210="","",IFERROR(字段输入模板!P210,""))</f>
        <v/>
      </c>
      <c r="B211" s="12" t="str">
        <f>IF(字段输入模板!P210="","",IF(字段输入模板!C210="",IFERROR(字段输入模板!B210,""),IFERROR(字段输入模板!C210,"")))</f>
        <v/>
      </c>
      <c r="C211" s="12" t="str">
        <f>IF(字段输入模板!P210="","",IFERROR(字段输入模板!I210,""))</f>
        <v/>
      </c>
      <c r="D211" s="9" t="str">
        <f>IF(字段输入模板!P210="","",IFERROR(字段输入模板!Q210,""))</f>
        <v/>
      </c>
      <c r="E211" s="9" t="str">
        <f>IF(字段输入模板!P210="","",IFERROR(字段输入模板!L210,""))</f>
        <v/>
      </c>
      <c r="F211" s="9" t="str">
        <f>IF(字段输入模板!P210="","",IFERROR(字段输入模板!J210,""))</f>
        <v/>
      </c>
      <c r="G211" s="9" t="str">
        <f>IF(字段输入模板!P210="","",IFERROR(字段输入模板!K210,""))</f>
        <v/>
      </c>
      <c r="H211" s="12" t="str">
        <f>IF(字段输入模板!P210="","",IFERROR(字段输入模板!M210,""))</f>
        <v/>
      </c>
      <c r="I211" s="12" t="str">
        <f>IF(字段输入模板!P210="","",IFERROR(字段输入模板!N210,""))</f>
        <v/>
      </c>
      <c r="J211" s="12" t="str">
        <f>IF(字段输入模板!P210="","",IFERROR(字段输入模板!E210,""))</f>
        <v/>
      </c>
      <c r="K211" s="12" t="str">
        <f>IF(字段输入模板!P210="","",IFERROR(字段输入模板!O210,""))</f>
        <v/>
      </c>
      <c r="L211" s="9" t="str">
        <f>IF(字段输入模板!P210="","",IFERROR(字段输入模板!A210,""))</f>
        <v/>
      </c>
      <c r="M211" s="9" t="str">
        <f>IF(字段输入模板!P210="","",IFERROR(字段输入模板!F210,""))</f>
        <v/>
      </c>
      <c r="N211" s="9" t="str">
        <f>IF(字段输入模板!P210="","",IFERROR(字段输入模板!G210,""))</f>
        <v/>
      </c>
      <c r="O211" s="12" t="str">
        <f>IF(字段输入模板!P210="","",IFERROR(字段输入模板!H210,""))</f>
        <v/>
      </c>
      <c r="P211" s="13" t="str">
        <f>IF(字段输入模板!P210="","",IFERROR(字段输入模板!R210,""))</f>
        <v/>
      </c>
    </row>
    <row r="212" spans="1:16">
      <c r="A212" s="12" t="str">
        <f>IF(字段输入模板!P211="","",IFERROR(字段输入模板!P211,""))</f>
        <v/>
      </c>
      <c r="B212" s="12" t="str">
        <f>IF(字段输入模板!P211="","",IF(字段输入模板!C211="",IFERROR(字段输入模板!B211,""),IFERROR(字段输入模板!C211,"")))</f>
        <v/>
      </c>
      <c r="C212" s="12" t="str">
        <f>IF(字段输入模板!P211="","",IFERROR(字段输入模板!I211,""))</f>
        <v/>
      </c>
      <c r="D212" s="9" t="str">
        <f>IF(字段输入模板!P211="","",IFERROR(字段输入模板!Q211,""))</f>
        <v/>
      </c>
      <c r="E212" s="9" t="str">
        <f>IF(字段输入模板!P211="","",IFERROR(字段输入模板!L211,""))</f>
        <v/>
      </c>
      <c r="F212" s="9" t="str">
        <f>IF(字段输入模板!P211="","",IFERROR(字段输入模板!J211,""))</f>
        <v/>
      </c>
      <c r="G212" s="9" t="str">
        <f>IF(字段输入模板!P211="","",IFERROR(字段输入模板!K211,""))</f>
        <v/>
      </c>
      <c r="H212" s="12" t="str">
        <f>IF(字段输入模板!P211="","",IFERROR(字段输入模板!M211,""))</f>
        <v/>
      </c>
      <c r="I212" s="12" t="str">
        <f>IF(字段输入模板!P211="","",IFERROR(字段输入模板!N211,""))</f>
        <v/>
      </c>
      <c r="J212" s="12" t="str">
        <f>IF(字段输入模板!P211="","",IFERROR(字段输入模板!E211,""))</f>
        <v/>
      </c>
      <c r="K212" s="12" t="str">
        <f>IF(字段输入模板!P211="","",IFERROR(字段输入模板!O211,""))</f>
        <v/>
      </c>
      <c r="L212" s="9" t="str">
        <f>IF(字段输入模板!P211="","",IFERROR(字段输入模板!A211,""))</f>
        <v/>
      </c>
      <c r="M212" s="9" t="str">
        <f>IF(字段输入模板!P211="","",IFERROR(字段输入模板!F211,""))</f>
        <v/>
      </c>
      <c r="N212" s="9" t="str">
        <f>IF(字段输入模板!P211="","",IFERROR(字段输入模板!G211,""))</f>
        <v/>
      </c>
      <c r="O212" s="12" t="str">
        <f>IF(字段输入模板!P211="","",IFERROR(字段输入模板!H211,""))</f>
        <v/>
      </c>
      <c r="P212" s="13" t="str">
        <f>IF(字段输入模板!P211="","",IFERROR(字段输入模板!R211,""))</f>
        <v/>
      </c>
    </row>
    <row r="213" spans="1:16">
      <c r="A213" s="12" t="str">
        <f>IF(字段输入模板!P212="","",IFERROR(字段输入模板!P212,""))</f>
        <v/>
      </c>
      <c r="B213" s="12" t="str">
        <f>IF(字段输入模板!P212="","",IF(字段输入模板!C212="",IFERROR(字段输入模板!B212,""),IFERROR(字段输入模板!C212,"")))</f>
        <v/>
      </c>
      <c r="C213" s="12" t="str">
        <f>IF(字段输入模板!P212="","",IFERROR(字段输入模板!I212,""))</f>
        <v/>
      </c>
      <c r="D213" s="9" t="str">
        <f>IF(字段输入模板!P212="","",IFERROR(字段输入模板!Q212,""))</f>
        <v/>
      </c>
      <c r="E213" s="9" t="str">
        <f>IF(字段输入模板!P212="","",IFERROR(字段输入模板!L212,""))</f>
        <v/>
      </c>
      <c r="F213" s="9" t="str">
        <f>IF(字段输入模板!P212="","",IFERROR(字段输入模板!J212,""))</f>
        <v/>
      </c>
      <c r="G213" s="9" t="str">
        <f>IF(字段输入模板!P212="","",IFERROR(字段输入模板!K212,""))</f>
        <v/>
      </c>
      <c r="H213" s="12" t="str">
        <f>IF(字段输入模板!P212="","",IFERROR(字段输入模板!M212,""))</f>
        <v/>
      </c>
      <c r="I213" s="12" t="str">
        <f>IF(字段输入模板!P212="","",IFERROR(字段输入模板!N212,""))</f>
        <v/>
      </c>
      <c r="J213" s="12" t="str">
        <f>IF(字段输入模板!P212="","",IFERROR(字段输入模板!E212,""))</f>
        <v/>
      </c>
      <c r="K213" s="12" t="str">
        <f>IF(字段输入模板!P212="","",IFERROR(字段输入模板!O212,""))</f>
        <v/>
      </c>
      <c r="L213" s="9" t="str">
        <f>IF(字段输入模板!P212="","",IFERROR(字段输入模板!A212,""))</f>
        <v/>
      </c>
      <c r="M213" s="9" t="str">
        <f>IF(字段输入模板!P212="","",IFERROR(字段输入模板!F212,""))</f>
        <v/>
      </c>
      <c r="N213" s="9" t="str">
        <f>IF(字段输入模板!P212="","",IFERROR(字段输入模板!G212,""))</f>
        <v/>
      </c>
      <c r="O213" s="12" t="str">
        <f>IF(字段输入模板!P212="","",IFERROR(字段输入模板!H212,""))</f>
        <v/>
      </c>
      <c r="P213" s="13" t="str">
        <f>IF(字段输入模板!P212="","",IFERROR(字段输入模板!R212,""))</f>
        <v/>
      </c>
    </row>
    <row r="214" spans="1:16">
      <c r="A214" s="12" t="str">
        <f>IF(字段输入模板!P213="","",IFERROR(字段输入模板!P213,""))</f>
        <v/>
      </c>
      <c r="B214" s="12" t="str">
        <f>IF(字段输入模板!P213="","",IF(字段输入模板!C213="",IFERROR(字段输入模板!B213,""),IFERROR(字段输入模板!C213,"")))</f>
        <v/>
      </c>
      <c r="C214" s="12" t="str">
        <f>IF(字段输入模板!P213="","",IFERROR(字段输入模板!I213,""))</f>
        <v/>
      </c>
      <c r="D214" s="9" t="str">
        <f>IF(字段输入模板!P213="","",IFERROR(字段输入模板!Q213,""))</f>
        <v/>
      </c>
      <c r="E214" s="9" t="str">
        <f>IF(字段输入模板!P213="","",IFERROR(字段输入模板!L213,""))</f>
        <v/>
      </c>
      <c r="F214" s="9" t="str">
        <f>IF(字段输入模板!P213="","",IFERROR(字段输入模板!J213,""))</f>
        <v/>
      </c>
      <c r="G214" s="9" t="str">
        <f>IF(字段输入模板!P213="","",IFERROR(字段输入模板!K213,""))</f>
        <v/>
      </c>
      <c r="H214" s="12" t="str">
        <f>IF(字段输入模板!P213="","",IFERROR(字段输入模板!M213,""))</f>
        <v/>
      </c>
      <c r="I214" s="12" t="str">
        <f>IF(字段输入模板!P213="","",IFERROR(字段输入模板!N213,""))</f>
        <v/>
      </c>
      <c r="J214" s="12" t="str">
        <f>IF(字段输入模板!P213="","",IFERROR(字段输入模板!E213,""))</f>
        <v/>
      </c>
      <c r="K214" s="12" t="str">
        <f>IF(字段输入模板!P213="","",IFERROR(字段输入模板!O213,""))</f>
        <v/>
      </c>
      <c r="L214" s="9" t="str">
        <f>IF(字段输入模板!P213="","",IFERROR(字段输入模板!A213,""))</f>
        <v/>
      </c>
      <c r="M214" s="9" t="str">
        <f>IF(字段输入模板!P213="","",IFERROR(字段输入模板!F213,""))</f>
        <v/>
      </c>
      <c r="N214" s="9" t="str">
        <f>IF(字段输入模板!P213="","",IFERROR(字段输入模板!G213,""))</f>
        <v/>
      </c>
      <c r="O214" s="12" t="str">
        <f>IF(字段输入模板!P213="","",IFERROR(字段输入模板!H213,""))</f>
        <v/>
      </c>
      <c r="P214" s="13" t="str">
        <f>IF(字段输入模板!P213="","",IFERROR(字段输入模板!R213,""))</f>
        <v/>
      </c>
    </row>
    <row r="215" spans="1:16">
      <c r="A215" s="12" t="str">
        <f>IF(字段输入模板!P214="","",IFERROR(字段输入模板!P214,""))</f>
        <v/>
      </c>
      <c r="B215" s="12" t="str">
        <f>IF(字段输入模板!P214="","",IF(字段输入模板!C214="",IFERROR(字段输入模板!B214,""),IFERROR(字段输入模板!C214,"")))</f>
        <v/>
      </c>
      <c r="C215" s="12" t="str">
        <f>IF(字段输入模板!P214="","",IFERROR(字段输入模板!I214,""))</f>
        <v/>
      </c>
      <c r="D215" s="9" t="str">
        <f>IF(字段输入模板!P214="","",IFERROR(字段输入模板!Q214,""))</f>
        <v/>
      </c>
      <c r="E215" s="9" t="str">
        <f>IF(字段输入模板!P214="","",IFERROR(字段输入模板!L214,""))</f>
        <v/>
      </c>
      <c r="F215" s="9" t="str">
        <f>IF(字段输入模板!P214="","",IFERROR(字段输入模板!J214,""))</f>
        <v/>
      </c>
      <c r="G215" s="9" t="str">
        <f>IF(字段输入模板!P214="","",IFERROR(字段输入模板!K214,""))</f>
        <v/>
      </c>
      <c r="H215" s="12" t="str">
        <f>IF(字段输入模板!P214="","",IFERROR(字段输入模板!M214,""))</f>
        <v/>
      </c>
      <c r="I215" s="12" t="str">
        <f>IF(字段输入模板!P214="","",IFERROR(字段输入模板!N214,""))</f>
        <v/>
      </c>
      <c r="J215" s="12" t="str">
        <f>IF(字段输入模板!P214="","",IFERROR(字段输入模板!E214,""))</f>
        <v/>
      </c>
      <c r="K215" s="12" t="str">
        <f>IF(字段输入模板!P214="","",IFERROR(字段输入模板!O214,""))</f>
        <v/>
      </c>
      <c r="L215" s="9" t="str">
        <f>IF(字段输入模板!P214="","",IFERROR(字段输入模板!A214,""))</f>
        <v/>
      </c>
      <c r="M215" s="9" t="str">
        <f>IF(字段输入模板!P214="","",IFERROR(字段输入模板!F214,""))</f>
        <v/>
      </c>
      <c r="N215" s="9" t="str">
        <f>IF(字段输入模板!P214="","",IFERROR(字段输入模板!G214,""))</f>
        <v/>
      </c>
      <c r="O215" s="12" t="str">
        <f>IF(字段输入模板!P214="","",IFERROR(字段输入模板!H214,""))</f>
        <v/>
      </c>
      <c r="P215" s="13" t="str">
        <f>IF(字段输入模板!P214="","",IFERROR(字段输入模板!R214,""))</f>
        <v/>
      </c>
    </row>
    <row r="216" spans="1:16">
      <c r="A216" s="12" t="str">
        <f>IF(字段输入模板!P215="","",IFERROR(字段输入模板!P215,""))</f>
        <v/>
      </c>
      <c r="B216" s="12" t="str">
        <f>IF(字段输入模板!P215="","",IF(字段输入模板!C215="",IFERROR(字段输入模板!B215,""),IFERROR(字段输入模板!C215,"")))</f>
        <v/>
      </c>
      <c r="C216" s="12" t="str">
        <f>IF(字段输入模板!P215="","",IFERROR(字段输入模板!I215,""))</f>
        <v/>
      </c>
      <c r="D216" s="9" t="str">
        <f>IF(字段输入模板!P215="","",IFERROR(字段输入模板!Q215,""))</f>
        <v/>
      </c>
      <c r="E216" s="9" t="str">
        <f>IF(字段输入模板!P215="","",IFERROR(字段输入模板!L215,""))</f>
        <v/>
      </c>
      <c r="F216" s="9" t="str">
        <f>IF(字段输入模板!P215="","",IFERROR(字段输入模板!J215,""))</f>
        <v/>
      </c>
      <c r="G216" s="9" t="str">
        <f>IF(字段输入模板!P215="","",IFERROR(字段输入模板!K215,""))</f>
        <v/>
      </c>
      <c r="H216" s="12" t="str">
        <f>IF(字段输入模板!P215="","",IFERROR(字段输入模板!M215,""))</f>
        <v/>
      </c>
      <c r="I216" s="12" t="str">
        <f>IF(字段输入模板!P215="","",IFERROR(字段输入模板!N215,""))</f>
        <v/>
      </c>
      <c r="J216" s="12" t="str">
        <f>IF(字段输入模板!P215="","",IFERROR(字段输入模板!E215,""))</f>
        <v/>
      </c>
      <c r="K216" s="12" t="str">
        <f>IF(字段输入模板!P215="","",IFERROR(字段输入模板!O215,""))</f>
        <v/>
      </c>
      <c r="L216" s="9" t="str">
        <f>IF(字段输入模板!P215="","",IFERROR(字段输入模板!A215,""))</f>
        <v/>
      </c>
      <c r="M216" s="9" t="str">
        <f>IF(字段输入模板!P215="","",IFERROR(字段输入模板!F215,""))</f>
        <v/>
      </c>
      <c r="N216" s="9" t="str">
        <f>IF(字段输入模板!P215="","",IFERROR(字段输入模板!G215,""))</f>
        <v/>
      </c>
      <c r="O216" s="12" t="str">
        <f>IF(字段输入模板!P215="","",IFERROR(字段输入模板!H215,""))</f>
        <v/>
      </c>
      <c r="P216" s="13" t="str">
        <f>IF(字段输入模板!P215="","",IFERROR(字段输入模板!R215,""))</f>
        <v/>
      </c>
    </row>
    <row r="217" spans="1:16">
      <c r="A217" s="12" t="str">
        <f>IF(字段输入模板!P216="","",IFERROR(字段输入模板!P216,""))</f>
        <v/>
      </c>
      <c r="B217" s="12" t="str">
        <f>IF(字段输入模板!P216="","",IF(字段输入模板!C216="",IFERROR(字段输入模板!B216,""),IFERROR(字段输入模板!C216,"")))</f>
        <v/>
      </c>
      <c r="C217" s="12" t="str">
        <f>IF(字段输入模板!P216="","",IFERROR(字段输入模板!I216,""))</f>
        <v/>
      </c>
      <c r="D217" s="9" t="str">
        <f>IF(字段输入模板!P216="","",IFERROR(字段输入模板!Q216,""))</f>
        <v/>
      </c>
      <c r="E217" s="9" t="str">
        <f>IF(字段输入模板!P216="","",IFERROR(字段输入模板!L216,""))</f>
        <v/>
      </c>
      <c r="F217" s="9" t="str">
        <f>IF(字段输入模板!P216="","",IFERROR(字段输入模板!J216,""))</f>
        <v/>
      </c>
      <c r="G217" s="9" t="str">
        <f>IF(字段输入模板!P216="","",IFERROR(字段输入模板!K216,""))</f>
        <v/>
      </c>
      <c r="H217" s="12" t="str">
        <f>IF(字段输入模板!P216="","",IFERROR(字段输入模板!M216,""))</f>
        <v/>
      </c>
      <c r="I217" s="12" t="str">
        <f>IF(字段输入模板!P216="","",IFERROR(字段输入模板!N216,""))</f>
        <v/>
      </c>
      <c r="J217" s="12" t="str">
        <f>IF(字段输入模板!P216="","",IFERROR(字段输入模板!E216,""))</f>
        <v/>
      </c>
      <c r="K217" s="12" t="str">
        <f>IF(字段输入模板!P216="","",IFERROR(字段输入模板!O216,""))</f>
        <v/>
      </c>
      <c r="L217" s="9" t="str">
        <f>IF(字段输入模板!P216="","",IFERROR(字段输入模板!A216,""))</f>
        <v/>
      </c>
      <c r="M217" s="9" t="str">
        <f>IF(字段输入模板!P216="","",IFERROR(字段输入模板!F216,""))</f>
        <v/>
      </c>
      <c r="N217" s="9" t="str">
        <f>IF(字段输入模板!P216="","",IFERROR(字段输入模板!G216,""))</f>
        <v/>
      </c>
      <c r="O217" s="12" t="str">
        <f>IF(字段输入模板!P216="","",IFERROR(字段输入模板!H216,""))</f>
        <v/>
      </c>
      <c r="P217" s="13" t="str">
        <f>IF(字段输入模板!P216="","",IFERROR(字段输入模板!R216,""))</f>
        <v/>
      </c>
    </row>
    <row r="218" spans="1:16">
      <c r="A218" s="12" t="str">
        <f>IF(字段输入模板!P217="","",IFERROR(字段输入模板!P217,""))</f>
        <v/>
      </c>
      <c r="B218" s="12" t="str">
        <f>IF(字段输入模板!P217="","",IF(字段输入模板!C217="",IFERROR(字段输入模板!B217,""),IFERROR(字段输入模板!C217,"")))</f>
        <v/>
      </c>
      <c r="C218" s="12" t="str">
        <f>IF(字段输入模板!P217="","",IFERROR(字段输入模板!I217,""))</f>
        <v/>
      </c>
      <c r="D218" s="9" t="str">
        <f>IF(字段输入模板!P217="","",IFERROR(字段输入模板!Q217,""))</f>
        <v/>
      </c>
      <c r="E218" s="9" t="str">
        <f>IF(字段输入模板!P217="","",IFERROR(字段输入模板!L217,""))</f>
        <v/>
      </c>
      <c r="F218" s="9" t="str">
        <f>IF(字段输入模板!P217="","",IFERROR(字段输入模板!J217,""))</f>
        <v/>
      </c>
      <c r="G218" s="9" t="str">
        <f>IF(字段输入模板!P217="","",IFERROR(字段输入模板!K217,""))</f>
        <v/>
      </c>
      <c r="H218" s="12" t="str">
        <f>IF(字段输入模板!P217="","",IFERROR(字段输入模板!M217,""))</f>
        <v/>
      </c>
      <c r="I218" s="12" t="str">
        <f>IF(字段输入模板!P217="","",IFERROR(字段输入模板!N217,""))</f>
        <v/>
      </c>
      <c r="J218" s="12" t="str">
        <f>IF(字段输入模板!P217="","",IFERROR(字段输入模板!E217,""))</f>
        <v/>
      </c>
      <c r="K218" s="12" t="str">
        <f>IF(字段输入模板!P217="","",IFERROR(字段输入模板!O217,""))</f>
        <v/>
      </c>
      <c r="L218" s="9" t="str">
        <f>IF(字段输入模板!P217="","",IFERROR(字段输入模板!A217,""))</f>
        <v/>
      </c>
      <c r="M218" s="9" t="str">
        <f>IF(字段输入模板!P217="","",IFERROR(字段输入模板!F217,""))</f>
        <v/>
      </c>
      <c r="N218" s="9" t="str">
        <f>IF(字段输入模板!P217="","",IFERROR(字段输入模板!G217,""))</f>
        <v/>
      </c>
      <c r="O218" s="12" t="str">
        <f>IF(字段输入模板!P217="","",IFERROR(字段输入模板!H217,""))</f>
        <v/>
      </c>
      <c r="P218" s="13" t="str">
        <f>IF(字段输入模板!P217="","",IFERROR(字段输入模板!R217,""))</f>
        <v/>
      </c>
    </row>
    <row r="219" spans="1:16">
      <c r="A219" s="12" t="str">
        <f>IF(字段输入模板!P218="","",IFERROR(字段输入模板!P218,""))</f>
        <v/>
      </c>
      <c r="B219" s="12" t="str">
        <f>IF(字段输入模板!P218="","",IF(字段输入模板!C218="",IFERROR(字段输入模板!B218,""),IFERROR(字段输入模板!C218,"")))</f>
        <v/>
      </c>
      <c r="C219" s="12" t="str">
        <f>IF(字段输入模板!P218="","",IFERROR(字段输入模板!I218,""))</f>
        <v/>
      </c>
      <c r="D219" s="9" t="str">
        <f>IF(字段输入模板!P218="","",IFERROR(字段输入模板!Q218,""))</f>
        <v/>
      </c>
      <c r="E219" s="9" t="str">
        <f>IF(字段输入模板!P218="","",IFERROR(字段输入模板!L218,""))</f>
        <v/>
      </c>
      <c r="F219" s="9" t="str">
        <f>IF(字段输入模板!P218="","",IFERROR(字段输入模板!J218,""))</f>
        <v/>
      </c>
      <c r="G219" s="9" t="str">
        <f>IF(字段输入模板!P218="","",IFERROR(字段输入模板!K218,""))</f>
        <v/>
      </c>
      <c r="H219" s="12" t="str">
        <f>IF(字段输入模板!P218="","",IFERROR(字段输入模板!M218,""))</f>
        <v/>
      </c>
      <c r="I219" s="12" t="str">
        <f>IF(字段输入模板!P218="","",IFERROR(字段输入模板!N218,""))</f>
        <v/>
      </c>
      <c r="J219" s="12" t="str">
        <f>IF(字段输入模板!P218="","",IFERROR(字段输入模板!E218,""))</f>
        <v/>
      </c>
      <c r="K219" s="12" t="str">
        <f>IF(字段输入模板!P218="","",IFERROR(字段输入模板!O218,""))</f>
        <v/>
      </c>
      <c r="L219" s="9" t="str">
        <f>IF(字段输入模板!P218="","",IFERROR(字段输入模板!A218,""))</f>
        <v/>
      </c>
      <c r="M219" s="9" t="str">
        <f>IF(字段输入模板!P218="","",IFERROR(字段输入模板!F218,""))</f>
        <v/>
      </c>
      <c r="N219" s="9" t="str">
        <f>IF(字段输入模板!P218="","",IFERROR(字段输入模板!G218,""))</f>
        <v/>
      </c>
      <c r="O219" s="12" t="str">
        <f>IF(字段输入模板!P218="","",IFERROR(字段输入模板!H218,""))</f>
        <v/>
      </c>
      <c r="P219" s="13" t="str">
        <f>IF(字段输入模板!P218="","",IFERROR(字段输入模板!R218,""))</f>
        <v/>
      </c>
    </row>
    <row r="220" spans="1:16">
      <c r="A220" s="12" t="str">
        <f>IF(字段输入模板!P219="","",IFERROR(字段输入模板!P219,""))</f>
        <v/>
      </c>
      <c r="B220" s="12" t="str">
        <f>IF(字段输入模板!P219="","",IF(字段输入模板!C219="",IFERROR(字段输入模板!B219,""),IFERROR(字段输入模板!C219,"")))</f>
        <v/>
      </c>
      <c r="C220" s="12" t="str">
        <f>IF(字段输入模板!P219="","",IFERROR(字段输入模板!I219,""))</f>
        <v/>
      </c>
      <c r="D220" s="9" t="str">
        <f>IF(字段输入模板!P219="","",IFERROR(字段输入模板!Q219,""))</f>
        <v/>
      </c>
      <c r="E220" s="9" t="str">
        <f>IF(字段输入模板!P219="","",IFERROR(字段输入模板!L219,""))</f>
        <v/>
      </c>
      <c r="F220" s="9" t="str">
        <f>IF(字段输入模板!P219="","",IFERROR(字段输入模板!J219,""))</f>
        <v/>
      </c>
      <c r="G220" s="9" t="str">
        <f>IF(字段输入模板!P219="","",IFERROR(字段输入模板!K219,""))</f>
        <v/>
      </c>
      <c r="H220" s="12" t="str">
        <f>IF(字段输入模板!P219="","",IFERROR(字段输入模板!M219,""))</f>
        <v/>
      </c>
      <c r="I220" s="12" t="str">
        <f>IF(字段输入模板!P219="","",IFERROR(字段输入模板!N219,""))</f>
        <v/>
      </c>
      <c r="J220" s="12" t="str">
        <f>IF(字段输入模板!P219="","",IFERROR(字段输入模板!E219,""))</f>
        <v/>
      </c>
      <c r="K220" s="12" t="str">
        <f>IF(字段输入模板!P219="","",IFERROR(字段输入模板!O219,""))</f>
        <v/>
      </c>
      <c r="L220" s="9" t="str">
        <f>IF(字段输入模板!P219="","",IFERROR(字段输入模板!A219,""))</f>
        <v/>
      </c>
      <c r="M220" s="9" t="str">
        <f>IF(字段输入模板!P219="","",IFERROR(字段输入模板!F219,""))</f>
        <v/>
      </c>
      <c r="N220" s="9" t="str">
        <f>IF(字段输入模板!P219="","",IFERROR(字段输入模板!G219,""))</f>
        <v/>
      </c>
      <c r="O220" s="12" t="str">
        <f>IF(字段输入模板!P219="","",IFERROR(字段输入模板!H219,""))</f>
        <v/>
      </c>
      <c r="P220" s="13" t="str">
        <f>IF(字段输入模板!P219="","",IFERROR(字段输入模板!R219,""))</f>
        <v/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0"/>
  <sheetViews>
    <sheetView showGridLines="0" workbookViewId="0">
      <selection activeCell="A1" sqref="A1"/>
    </sheetView>
  </sheetViews>
  <sheetFormatPr defaultColWidth="9" defaultRowHeight="15"/>
  <cols>
    <col min="1" max="1" width="16" customWidth="1"/>
    <col min="2" max="2" width="15" customWidth="1"/>
    <col min="3" max="3" width="12" customWidth="1"/>
    <col min="4" max="4" width="22" customWidth="1"/>
    <col min="5" max="5" width="18" customWidth="1"/>
    <col min="6" max="6" width="28" customWidth="1"/>
    <col min="7" max="7" width="24" customWidth="1"/>
  </cols>
  <sheetData>
    <row r="1" ht="21" spans="1:1">
      <c r="A1" s="1" t="s">
        <v>152</v>
      </c>
    </row>
    <row r="2" spans="1:1">
      <c r="A2" s="2" t="s">
        <v>153</v>
      </c>
    </row>
    <row r="3" spans="1:7">
      <c r="A3" s="3"/>
      <c r="B3" s="3"/>
      <c r="C3" s="3"/>
      <c r="D3" s="3"/>
      <c r="E3" s="3"/>
      <c r="F3" s="3"/>
      <c r="G3" s="3"/>
    </row>
    <row r="4" ht="31.5" spans="1:14">
      <c r="A4" s="4" t="s">
        <v>56</v>
      </c>
      <c r="B4" s="4" t="s">
        <v>63</v>
      </c>
      <c r="C4" s="4" t="s">
        <v>71</v>
      </c>
      <c r="D4" s="5" t="s">
        <v>154</v>
      </c>
      <c r="E4" s="5" t="s">
        <v>155</v>
      </c>
      <c r="F4" s="5" t="s">
        <v>62</v>
      </c>
      <c r="G4" s="5" t="s">
        <v>43</v>
      </c>
      <c r="L4" s="11"/>
      <c r="M4" s="11"/>
      <c r="N4" s="11"/>
    </row>
    <row r="5" spans="1:14">
      <c r="A5" s="6" t="s">
        <v>73</v>
      </c>
      <c r="B5" s="7">
        <v>32</v>
      </c>
      <c r="C5" s="8" t="str">
        <f t="shared" ref="C5:C68" si="0">IF(B5="","","0x"&amp;MID("0123456789ABCDEF",INT(B5/16)+1,1)&amp;MID("0123456789ABCDEF",MOD(B5,16)+1,1))</f>
        <v>0x20</v>
      </c>
      <c r="D5" s="7"/>
      <c r="E5" s="9" t="str">
        <f t="shared" ref="E5:E68" si="1">IF(D5="","","0x"&amp;MID("0123456789ABCDEF",INT(D5/16)+1,1)&amp;MID("0123456789ABCDEF",MOD(D5,16)+1,1))</f>
        <v/>
      </c>
      <c r="F5" s="10"/>
      <c r="G5" s="10"/>
      <c r="L5" s="11"/>
      <c r="M5" s="11"/>
      <c r="N5" s="11"/>
    </row>
    <row r="6" spans="1:14">
      <c r="A6" s="6"/>
      <c r="B6" s="7"/>
      <c r="C6" s="8" t="str">
        <f t="shared" si="0"/>
        <v/>
      </c>
      <c r="D6" s="7"/>
      <c r="E6" s="9" t="str">
        <f t="shared" si="1"/>
        <v/>
      </c>
      <c r="F6" s="10"/>
      <c r="G6" s="10"/>
      <c r="L6" s="11"/>
      <c r="M6" s="11"/>
      <c r="N6" s="11"/>
    </row>
    <row r="7" spans="1:14">
      <c r="A7" s="6"/>
      <c r="B7" s="7"/>
      <c r="C7" s="8" t="str">
        <f t="shared" si="0"/>
        <v/>
      </c>
      <c r="D7" s="7"/>
      <c r="E7" s="9" t="str">
        <f t="shared" si="1"/>
        <v/>
      </c>
      <c r="F7" s="10"/>
      <c r="G7" s="10"/>
      <c r="L7" s="11"/>
      <c r="M7" s="11"/>
      <c r="N7" s="11"/>
    </row>
    <row r="8" spans="1:14">
      <c r="A8" s="6"/>
      <c r="B8" s="7"/>
      <c r="C8" s="8" t="str">
        <f t="shared" si="0"/>
        <v/>
      </c>
      <c r="D8" s="7"/>
      <c r="E8" s="9" t="str">
        <f t="shared" si="1"/>
        <v/>
      </c>
      <c r="F8" s="10"/>
      <c r="G8" s="10"/>
      <c r="L8" s="11"/>
      <c r="M8" s="11"/>
      <c r="N8" s="11"/>
    </row>
    <row r="9" spans="1:14">
      <c r="A9" s="6"/>
      <c r="B9" s="7"/>
      <c r="C9" s="8" t="str">
        <f t="shared" si="0"/>
        <v/>
      </c>
      <c r="D9" s="7"/>
      <c r="E9" s="9" t="str">
        <f t="shared" si="1"/>
        <v/>
      </c>
      <c r="F9" s="10"/>
      <c r="G9" s="10"/>
      <c r="L9" s="11"/>
      <c r="M9" s="11"/>
      <c r="N9" s="11"/>
    </row>
    <row r="10" spans="1:14">
      <c r="A10" s="6"/>
      <c r="B10" s="7"/>
      <c r="C10" s="8" t="str">
        <f t="shared" si="0"/>
        <v/>
      </c>
      <c r="D10" s="7"/>
      <c r="E10" s="9" t="str">
        <f t="shared" si="1"/>
        <v/>
      </c>
      <c r="F10" s="10"/>
      <c r="G10" s="10"/>
      <c r="L10" s="11"/>
      <c r="M10" s="11"/>
      <c r="N10" s="11"/>
    </row>
    <row r="11" spans="1:14">
      <c r="A11" s="6"/>
      <c r="B11" s="7"/>
      <c r="C11" s="8" t="str">
        <f t="shared" si="0"/>
        <v/>
      </c>
      <c r="D11" s="7"/>
      <c r="E11" s="9" t="str">
        <f t="shared" si="1"/>
        <v/>
      </c>
      <c r="F11" s="10"/>
      <c r="G11" s="10"/>
      <c r="L11" s="11"/>
      <c r="M11" s="11"/>
      <c r="N11" s="11"/>
    </row>
    <row r="12" spans="1:14">
      <c r="A12" s="6"/>
      <c r="B12" s="7"/>
      <c r="C12" s="8" t="str">
        <f t="shared" si="0"/>
        <v/>
      </c>
      <c r="D12" s="7"/>
      <c r="E12" s="9" t="str">
        <f t="shared" si="1"/>
        <v/>
      </c>
      <c r="F12" s="10"/>
      <c r="G12" s="10"/>
      <c r="L12" s="11"/>
      <c r="M12" s="11"/>
      <c r="N12" s="11"/>
    </row>
    <row r="13" spans="1:14">
      <c r="A13" s="6"/>
      <c r="B13" s="7"/>
      <c r="C13" s="8" t="str">
        <f t="shared" si="0"/>
        <v/>
      </c>
      <c r="D13" s="7"/>
      <c r="E13" s="9" t="str">
        <f t="shared" si="1"/>
        <v/>
      </c>
      <c r="F13" s="10"/>
      <c r="G13" s="10"/>
      <c r="L13" s="11"/>
      <c r="M13" s="11"/>
      <c r="N13" s="11"/>
    </row>
    <row r="14" spans="1:14">
      <c r="A14" s="6"/>
      <c r="B14" s="7"/>
      <c r="C14" s="8" t="str">
        <f t="shared" si="0"/>
        <v/>
      </c>
      <c r="D14" s="7"/>
      <c r="E14" s="9" t="str">
        <f t="shared" si="1"/>
        <v/>
      </c>
      <c r="F14" s="10"/>
      <c r="G14" s="10"/>
      <c r="L14" s="11"/>
      <c r="M14" s="11"/>
      <c r="N14" s="11"/>
    </row>
    <row r="15" spans="1:14">
      <c r="A15" s="6"/>
      <c r="B15" s="7"/>
      <c r="C15" s="8" t="str">
        <f t="shared" si="0"/>
        <v/>
      </c>
      <c r="D15" s="7"/>
      <c r="E15" s="9" t="str">
        <f t="shared" si="1"/>
        <v/>
      </c>
      <c r="F15" s="10"/>
      <c r="G15" s="10"/>
      <c r="L15" s="11"/>
      <c r="M15" s="11"/>
      <c r="N15" s="11"/>
    </row>
    <row r="16" spans="1:14">
      <c r="A16" s="6"/>
      <c r="B16" s="7"/>
      <c r="C16" s="8" t="str">
        <f t="shared" si="0"/>
        <v/>
      </c>
      <c r="D16" s="7"/>
      <c r="E16" s="9" t="str">
        <f t="shared" si="1"/>
        <v/>
      </c>
      <c r="F16" s="10"/>
      <c r="G16" s="10"/>
      <c r="L16" s="11"/>
      <c r="M16" s="11"/>
      <c r="N16" s="11"/>
    </row>
    <row r="17" spans="1:14">
      <c r="A17" s="6"/>
      <c r="B17" s="7"/>
      <c r="C17" s="8" t="str">
        <f t="shared" si="0"/>
        <v/>
      </c>
      <c r="D17" s="7"/>
      <c r="E17" s="9" t="str">
        <f t="shared" si="1"/>
        <v/>
      </c>
      <c r="F17" s="10"/>
      <c r="G17" s="10"/>
      <c r="L17" s="11"/>
      <c r="M17" s="11"/>
      <c r="N17" s="11"/>
    </row>
    <row r="18" spans="1:14">
      <c r="A18" s="6"/>
      <c r="B18" s="7"/>
      <c r="C18" s="8" t="str">
        <f t="shared" si="0"/>
        <v/>
      </c>
      <c r="D18" s="7"/>
      <c r="E18" s="9" t="str">
        <f t="shared" si="1"/>
        <v/>
      </c>
      <c r="F18" s="10"/>
      <c r="G18" s="10"/>
      <c r="L18" s="11"/>
      <c r="M18" s="11"/>
      <c r="N18" s="11"/>
    </row>
    <row r="19" spans="1:14">
      <c r="A19" s="6"/>
      <c r="B19" s="7"/>
      <c r="C19" s="8" t="str">
        <f t="shared" si="0"/>
        <v/>
      </c>
      <c r="D19" s="7"/>
      <c r="E19" s="9" t="str">
        <f t="shared" si="1"/>
        <v/>
      </c>
      <c r="F19" s="10"/>
      <c r="G19" s="10"/>
      <c r="L19" s="11"/>
      <c r="M19" s="11"/>
      <c r="N19" s="11"/>
    </row>
    <row r="20" spans="1:14">
      <c r="A20" s="6"/>
      <c r="B20" s="7"/>
      <c r="C20" s="8" t="str">
        <f t="shared" si="0"/>
        <v/>
      </c>
      <c r="D20" s="7"/>
      <c r="E20" s="9" t="str">
        <f t="shared" si="1"/>
        <v/>
      </c>
      <c r="F20" s="10"/>
      <c r="G20" s="10"/>
      <c r="L20" s="11"/>
      <c r="M20" s="11"/>
      <c r="N20" s="11"/>
    </row>
    <row r="21" spans="1:14">
      <c r="A21" s="6"/>
      <c r="B21" s="7"/>
      <c r="C21" s="8" t="str">
        <f t="shared" si="0"/>
        <v/>
      </c>
      <c r="D21" s="7"/>
      <c r="E21" s="9" t="str">
        <f t="shared" si="1"/>
        <v/>
      </c>
      <c r="F21" s="10"/>
      <c r="G21" s="10"/>
      <c r="L21" s="11"/>
      <c r="M21" s="11"/>
      <c r="N21" s="11"/>
    </row>
    <row r="22" spans="1:14">
      <c r="A22" s="6"/>
      <c r="B22" s="7"/>
      <c r="C22" s="8" t="str">
        <f t="shared" si="0"/>
        <v/>
      </c>
      <c r="D22" s="7"/>
      <c r="E22" s="9" t="str">
        <f t="shared" si="1"/>
        <v/>
      </c>
      <c r="F22" s="10"/>
      <c r="G22" s="10"/>
      <c r="L22" s="11"/>
      <c r="M22" s="11"/>
      <c r="N22" s="11"/>
    </row>
    <row r="23" spans="1:14">
      <c r="A23" s="6"/>
      <c r="B23" s="7"/>
      <c r="C23" s="8" t="str">
        <f t="shared" si="0"/>
        <v/>
      </c>
      <c r="D23" s="7"/>
      <c r="E23" s="9" t="str">
        <f t="shared" si="1"/>
        <v/>
      </c>
      <c r="F23" s="10"/>
      <c r="G23" s="10"/>
      <c r="L23" s="11"/>
      <c r="M23" s="11"/>
      <c r="N23" s="11"/>
    </row>
    <row r="24" spans="1:14">
      <c r="A24" s="6"/>
      <c r="B24" s="7"/>
      <c r="C24" s="8" t="str">
        <f t="shared" si="0"/>
        <v/>
      </c>
      <c r="D24" s="7"/>
      <c r="E24" s="9" t="str">
        <f t="shared" si="1"/>
        <v/>
      </c>
      <c r="F24" s="10"/>
      <c r="G24" s="10"/>
      <c r="L24" s="11"/>
      <c r="M24" s="11"/>
      <c r="N24" s="11"/>
    </row>
    <row r="25" spans="1:14">
      <c r="A25" s="6"/>
      <c r="B25" s="7"/>
      <c r="C25" s="8" t="str">
        <f t="shared" si="0"/>
        <v/>
      </c>
      <c r="D25" s="7"/>
      <c r="E25" s="9" t="str">
        <f t="shared" si="1"/>
        <v/>
      </c>
      <c r="F25" s="10"/>
      <c r="G25" s="10"/>
      <c r="L25" s="11"/>
      <c r="M25" s="11"/>
      <c r="N25" s="11"/>
    </row>
    <row r="26" spans="1:14">
      <c r="A26" s="6"/>
      <c r="B26" s="7"/>
      <c r="C26" s="8" t="str">
        <f t="shared" si="0"/>
        <v/>
      </c>
      <c r="D26" s="7"/>
      <c r="E26" s="9" t="str">
        <f t="shared" si="1"/>
        <v/>
      </c>
      <c r="F26" s="10"/>
      <c r="G26" s="10"/>
      <c r="L26" s="11"/>
      <c r="M26" s="11"/>
      <c r="N26" s="11"/>
    </row>
    <row r="27" spans="1:14">
      <c r="A27" s="6"/>
      <c r="B27" s="7"/>
      <c r="C27" s="8" t="str">
        <f t="shared" si="0"/>
        <v/>
      </c>
      <c r="D27" s="7"/>
      <c r="E27" s="9" t="str">
        <f t="shared" si="1"/>
        <v/>
      </c>
      <c r="F27" s="10"/>
      <c r="G27" s="10"/>
      <c r="L27" s="11"/>
      <c r="M27" s="11"/>
      <c r="N27" s="11"/>
    </row>
    <row r="28" spans="1:14">
      <c r="A28" s="6"/>
      <c r="B28" s="7"/>
      <c r="C28" s="8" t="str">
        <f t="shared" si="0"/>
        <v/>
      </c>
      <c r="D28" s="7"/>
      <c r="E28" s="9" t="str">
        <f t="shared" si="1"/>
        <v/>
      </c>
      <c r="F28" s="10"/>
      <c r="G28" s="10"/>
      <c r="L28" s="11"/>
      <c r="M28" s="11"/>
      <c r="N28" s="11"/>
    </row>
    <row r="29" spans="1:14">
      <c r="A29" s="6"/>
      <c r="B29" s="7"/>
      <c r="C29" s="8" t="str">
        <f t="shared" si="0"/>
        <v/>
      </c>
      <c r="D29" s="7"/>
      <c r="E29" s="9" t="str">
        <f t="shared" si="1"/>
        <v/>
      </c>
      <c r="F29" s="10"/>
      <c r="G29" s="10"/>
      <c r="L29" s="11"/>
      <c r="M29" s="11"/>
      <c r="N29" s="11"/>
    </row>
    <row r="30" spans="1:14">
      <c r="A30" s="6"/>
      <c r="B30" s="7"/>
      <c r="C30" s="8" t="str">
        <f t="shared" si="0"/>
        <v/>
      </c>
      <c r="D30" s="7"/>
      <c r="E30" s="9" t="str">
        <f t="shared" si="1"/>
        <v/>
      </c>
      <c r="F30" s="10"/>
      <c r="G30" s="10"/>
      <c r="L30" s="11"/>
      <c r="M30" s="11"/>
      <c r="N30" s="11"/>
    </row>
    <row r="31" spans="1:14">
      <c r="A31" s="6"/>
      <c r="B31" s="7"/>
      <c r="C31" s="8" t="str">
        <f t="shared" si="0"/>
        <v/>
      </c>
      <c r="D31" s="7"/>
      <c r="E31" s="9" t="str">
        <f t="shared" si="1"/>
        <v/>
      </c>
      <c r="F31" s="10"/>
      <c r="G31" s="10"/>
      <c r="L31" s="11"/>
      <c r="M31" s="11"/>
      <c r="N31" s="11"/>
    </row>
    <row r="32" spans="1:14">
      <c r="A32" s="6"/>
      <c r="B32" s="7"/>
      <c r="C32" s="8" t="str">
        <f t="shared" si="0"/>
        <v/>
      </c>
      <c r="D32" s="7"/>
      <c r="E32" s="9" t="str">
        <f t="shared" si="1"/>
        <v/>
      </c>
      <c r="F32" s="10"/>
      <c r="G32" s="10"/>
      <c r="L32" s="11"/>
      <c r="M32" s="11"/>
      <c r="N32" s="11"/>
    </row>
    <row r="33" spans="1:14">
      <c r="A33" s="6"/>
      <c r="B33" s="7"/>
      <c r="C33" s="8" t="str">
        <f t="shared" si="0"/>
        <v/>
      </c>
      <c r="D33" s="7"/>
      <c r="E33" s="9" t="str">
        <f t="shared" si="1"/>
        <v/>
      </c>
      <c r="F33" s="10"/>
      <c r="G33" s="10"/>
      <c r="L33" s="11"/>
      <c r="M33" s="11"/>
      <c r="N33" s="11"/>
    </row>
    <row r="34" spans="1:14">
      <c r="A34" s="6"/>
      <c r="B34" s="7"/>
      <c r="C34" s="8" t="str">
        <f t="shared" si="0"/>
        <v/>
      </c>
      <c r="D34" s="7"/>
      <c r="E34" s="9" t="str">
        <f t="shared" si="1"/>
        <v/>
      </c>
      <c r="F34" s="10"/>
      <c r="G34" s="10"/>
      <c r="L34" s="11"/>
      <c r="M34" s="11"/>
      <c r="N34" s="11"/>
    </row>
    <row r="35" spans="1:14">
      <c r="A35" s="6"/>
      <c r="B35" s="7"/>
      <c r="C35" s="8" t="str">
        <f t="shared" si="0"/>
        <v/>
      </c>
      <c r="D35" s="7"/>
      <c r="E35" s="9" t="str">
        <f t="shared" si="1"/>
        <v/>
      </c>
      <c r="F35" s="10"/>
      <c r="G35" s="10"/>
      <c r="L35" s="11"/>
      <c r="M35" s="11"/>
      <c r="N35" s="11"/>
    </row>
    <row r="36" spans="1:14">
      <c r="A36" s="6"/>
      <c r="B36" s="7"/>
      <c r="C36" s="8" t="str">
        <f t="shared" si="0"/>
        <v/>
      </c>
      <c r="D36" s="7"/>
      <c r="E36" s="9" t="str">
        <f t="shared" si="1"/>
        <v/>
      </c>
      <c r="F36" s="10"/>
      <c r="G36" s="10"/>
      <c r="L36" s="11"/>
      <c r="M36" s="11"/>
      <c r="N36" s="11"/>
    </row>
    <row r="37" spans="1:14">
      <c r="A37" s="6"/>
      <c r="B37" s="7"/>
      <c r="C37" s="8" t="str">
        <f t="shared" si="0"/>
        <v/>
      </c>
      <c r="D37" s="7"/>
      <c r="E37" s="9" t="str">
        <f t="shared" si="1"/>
        <v/>
      </c>
      <c r="F37" s="10"/>
      <c r="G37" s="10"/>
      <c r="L37" s="11"/>
      <c r="M37" s="11"/>
      <c r="N37" s="11"/>
    </row>
    <row r="38" spans="1:14">
      <c r="A38" s="6"/>
      <c r="B38" s="7"/>
      <c r="C38" s="8" t="str">
        <f t="shared" si="0"/>
        <v/>
      </c>
      <c r="D38" s="7"/>
      <c r="E38" s="9" t="str">
        <f t="shared" si="1"/>
        <v/>
      </c>
      <c r="F38" s="10"/>
      <c r="G38" s="10"/>
      <c r="L38" s="11"/>
      <c r="M38" s="11"/>
      <c r="N38" s="11"/>
    </row>
    <row r="39" spans="1:14">
      <c r="A39" s="6"/>
      <c r="B39" s="7"/>
      <c r="C39" s="8" t="str">
        <f t="shared" si="0"/>
        <v/>
      </c>
      <c r="D39" s="7"/>
      <c r="E39" s="9" t="str">
        <f t="shared" si="1"/>
        <v/>
      </c>
      <c r="F39" s="10"/>
      <c r="G39" s="10"/>
      <c r="L39" s="11"/>
      <c r="M39" s="11"/>
      <c r="N39" s="11"/>
    </row>
    <row r="40" spans="1:14">
      <c r="A40" s="6"/>
      <c r="B40" s="7"/>
      <c r="C40" s="8" t="str">
        <f t="shared" si="0"/>
        <v/>
      </c>
      <c r="D40" s="7"/>
      <c r="E40" s="9" t="str">
        <f t="shared" si="1"/>
        <v/>
      </c>
      <c r="F40" s="10"/>
      <c r="G40" s="10"/>
      <c r="L40" s="11"/>
      <c r="M40" s="11"/>
      <c r="N40" s="11"/>
    </row>
    <row r="41" spans="1:14">
      <c r="A41" s="6"/>
      <c r="B41" s="7"/>
      <c r="C41" s="8" t="str">
        <f t="shared" si="0"/>
        <v/>
      </c>
      <c r="D41" s="7"/>
      <c r="E41" s="9" t="str">
        <f t="shared" si="1"/>
        <v/>
      </c>
      <c r="F41" s="10"/>
      <c r="G41" s="10"/>
      <c r="L41" s="11"/>
      <c r="M41" s="11"/>
      <c r="N41" s="11"/>
    </row>
    <row r="42" spans="1:14">
      <c r="A42" s="6"/>
      <c r="B42" s="7"/>
      <c r="C42" s="8" t="str">
        <f t="shared" si="0"/>
        <v/>
      </c>
      <c r="D42" s="7"/>
      <c r="E42" s="9" t="str">
        <f t="shared" si="1"/>
        <v/>
      </c>
      <c r="F42" s="10"/>
      <c r="G42" s="10"/>
      <c r="L42" s="11"/>
      <c r="M42" s="11"/>
      <c r="N42" s="11"/>
    </row>
    <row r="43" spans="1:14">
      <c r="A43" s="6"/>
      <c r="B43" s="7"/>
      <c r="C43" s="8" t="str">
        <f t="shared" si="0"/>
        <v/>
      </c>
      <c r="D43" s="7"/>
      <c r="E43" s="9" t="str">
        <f t="shared" si="1"/>
        <v/>
      </c>
      <c r="F43" s="10"/>
      <c r="G43" s="10"/>
      <c r="L43" s="11"/>
      <c r="M43" s="11"/>
      <c r="N43" s="11"/>
    </row>
    <row r="44" spans="1:14">
      <c r="A44" s="6"/>
      <c r="B44" s="7"/>
      <c r="C44" s="8" t="str">
        <f t="shared" si="0"/>
        <v/>
      </c>
      <c r="D44" s="7"/>
      <c r="E44" s="9" t="str">
        <f t="shared" si="1"/>
        <v/>
      </c>
      <c r="F44" s="10"/>
      <c r="G44" s="10"/>
      <c r="L44" s="11"/>
      <c r="M44" s="11"/>
      <c r="N44" s="11"/>
    </row>
    <row r="45" spans="1:14">
      <c r="A45" s="6"/>
      <c r="B45" s="7"/>
      <c r="C45" s="8" t="str">
        <f t="shared" si="0"/>
        <v/>
      </c>
      <c r="D45" s="7"/>
      <c r="E45" s="9" t="str">
        <f t="shared" si="1"/>
        <v/>
      </c>
      <c r="F45" s="10"/>
      <c r="G45" s="10"/>
      <c r="L45" s="11"/>
      <c r="M45" s="11"/>
      <c r="N45" s="11"/>
    </row>
    <row r="46" spans="1:14">
      <c r="A46" s="6"/>
      <c r="B46" s="7"/>
      <c r="C46" s="8" t="str">
        <f t="shared" si="0"/>
        <v/>
      </c>
      <c r="D46" s="7"/>
      <c r="E46" s="9" t="str">
        <f t="shared" si="1"/>
        <v/>
      </c>
      <c r="F46" s="10"/>
      <c r="G46" s="10"/>
      <c r="L46" s="11"/>
      <c r="M46" s="11"/>
      <c r="N46" s="11"/>
    </row>
    <row r="47" spans="1:14">
      <c r="A47" s="6"/>
      <c r="B47" s="7"/>
      <c r="C47" s="8" t="str">
        <f t="shared" si="0"/>
        <v/>
      </c>
      <c r="D47" s="7"/>
      <c r="E47" s="9" t="str">
        <f t="shared" si="1"/>
        <v/>
      </c>
      <c r="F47" s="10"/>
      <c r="G47" s="10"/>
      <c r="L47" s="11"/>
      <c r="M47" s="11"/>
      <c r="N47" s="11"/>
    </row>
    <row r="48" spans="1:14">
      <c r="A48" s="6"/>
      <c r="B48" s="7"/>
      <c r="C48" s="8" t="str">
        <f t="shared" si="0"/>
        <v/>
      </c>
      <c r="D48" s="7"/>
      <c r="E48" s="9" t="str">
        <f t="shared" si="1"/>
        <v/>
      </c>
      <c r="F48" s="10"/>
      <c r="G48" s="10"/>
      <c r="L48" s="11"/>
      <c r="M48" s="11"/>
      <c r="N48" s="11"/>
    </row>
    <row r="49" spans="1:14">
      <c r="A49" s="6"/>
      <c r="B49" s="7"/>
      <c r="C49" s="8" t="str">
        <f t="shared" si="0"/>
        <v/>
      </c>
      <c r="D49" s="7"/>
      <c r="E49" s="9" t="str">
        <f t="shared" si="1"/>
        <v/>
      </c>
      <c r="F49" s="10"/>
      <c r="G49" s="10"/>
      <c r="L49" s="11"/>
      <c r="M49" s="11"/>
      <c r="N49" s="11"/>
    </row>
    <row r="50" spans="1:14">
      <c r="A50" s="6"/>
      <c r="B50" s="7"/>
      <c r="C50" s="8" t="str">
        <f t="shared" si="0"/>
        <v/>
      </c>
      <c r="D50" s="7"/>
      <c r="E50" s="9" t="str">
        <f t="shared" si="1"/>
        <v/>
      </c>
      <c r="F50" s="10"/>
      <c r="G50" s="10"/>
      <c r="L50" s="11"/>
      <c r="M50" s="11"/>
      <c r="N50" s="11"/>
    </row>
    <row r="51" spans="1:14">
      <c r="A51" s="6"/>
      <c r="B51" s="7"/>
      <c r="C51" s="8" t="str">
        <f t="shared" si="0"/>
        <v/>
      </c>
      <c r="D51" s="7"/>
      <c r="E51" s="9" t="str">
        <f t="shared" si="1"/>
        <v/>
      </c>
      <c r="F51" s="10"/>
      <c r="G51" s="10"/>
      <c r="L51" s="11"/>
      <c r="M51" s="11"/>
      <c r="N51" s="11"/>
    </row>
    <row r="52" spans="1:14">
      <c r="A52" s="6"/>
      <c r="B52" s="7"/>
      <c r="C52" s="8" t="str">
        <f t="shared" si="0"/>
        <v/>
      </c>
      <c r="D52" s="7"/>
      <c r="E52" s="9" t="str">
        <f t="shared" si="1"/>
        <v/>
      </c>
      <c r="F52" s="10"/>
      <c r="G52" s="10"/>
      <c r="L52" s="11"/>
      <c r="M52" s="11"/>
      <c r="N52" s="11"/>
    </row>
    <row r="53" spans="1:14">
      <c r="A53" s="6"/>
      <c r="B53" s="7"/>
      <c r="C53" s="8" t="str">
        <f t="shared" si="0"/>
        <v/>
      </c>
      <c r="D53" s="7"/>
      <c r="E53" s="9" t="str">
        <f t="shared" si="1"/>
        <v/>
      </c>
      <c r="F53" s="10"/>
      <c r="G53" s="10"/>
      <c r="L53" s="11"/>
      <c r="M53" s="11"/>
      <c r="N53" s="11"/>
    </row>
    <row r="54" spans="1:14">
      <c r="A54" s="6"/>
      <c r="B54" s="7"/>
      <c r="C54" s="8" t="str">
        <f t="shared" si="0"/>
        <v/>
      </c>
      <c r="D54" s="7"/>
      <c r="E54" s="9" t="str">
        <f t="shared" si="1"/>
        <v/>
      </c>
      <c r="F54" s="10"/>
      <c r="G54" s="10"/>
      <c r="L54" s="11"/>
      <c r="M54" s="11"/>
      <c r="N54" s="11"/>
    </row>
    <row r="55" spans="1:14">
      <c r="A55" s="6"/>
      <c r="B55" s="7"/>
      <c r="C55" s="8" t="str">
        <f t="shared" si="0"/>
        <v/>
      </c>
      <c r="D55" s="7"/>
      <c r="E55" s="9" t="str">
        <f t="shared" si="1"/>
        <v/>
      </c>
      <c r="F55" s="10"/>
      <c r="G55" s="10"/>
      <c r="L55" s="11"/>
      <c r="M55" s="11"/>
      <c r="N55" s="11"/>
    </row>
    <row r="56" spans="1:14">
      <c r="A56" s="6"/>
      <c r="B56" s="7"/>
      <c r="C56" s="8" t="str">
        <f t="shared" si="0"/>
        <v/>
      </c>
      <c r="D56" s="7"/>
      <c r="E56" s="9" t="str">
        <f t="shared" si="1"/>
        <v/>
      </c>
      <c r="F56" s="10"/>
      <c r="G56" s="10"/>
      <c r="L56" s="11"/>
      <c r="M56" s="11"/>
      <c r="N56" s="11"/>
    </row>
    <row r="57" spans="1:14">
      <c r="A57" s="6"/>
      <c r="B57" s="7"/>
      <c r="C57" s="8" t="str">
        <f t="shared" si="0"/>
        <v/>
      </c>
      <c r="D57" s="7"/>
      <c r="E57" s="9" t="str">
        <f t="shared" si="1"/>
        <v/>
      </c>
      <c r="F57" s="10"/>
      <c r="G57" s="10"/>
      <c r="L57" s="11"/>
      <c r="M57" s="11"/>
      <c r="N57" s="11"/>
    </row>
    <row r="58" spans="1:14">
      <c r="A58" s="6"/>
      <c r="B58" s="7"/>
      <c r="C58" s="8" t="str">
        <f t="shared" si="0"/>
        <v/>
      </c>
      <c r="D58" s="7"/>
      <c r="E58" s="9" t="str">
        <f t="shared" si="1"/>
        <v/>
      </c>
      <c r="F58" s="10"/>
      <c r="G58" s="10"/>
      <c r="L58" s="11"/>
      <c r="M58" s="11"/>
      <c r="N58" s="11"/>
    </row>
    <row r="59" spans="1:14">
      <c r="A59" s="6"/>
      <c r="B59" s="7"/>
      <c r="C59" s="8" t="str">
        <f t="shared" si="0"/>
        <v/>
      </c>
      <c r="D59" s="7"/>
      <c r="E59" s="9" t="str">
        <f t="shared" si="1"/>
        <v/>
      </c>
      <c r="F59" s="10"/>
      <c r="G59" s="10"/>
      <c r="L59" s="11"/>
      <c r="M59" s="11"/>
      <c r="N59" s="11"/>
    </row>
    <row r="60" spans="1:14">
      <c r="A60" s="6"/>
      <c r="B60" s="7"/>
      <c r="C60" s="8" t="str">
        <f t="shared" si="0"/>
        <v/>
      </c>
      <c r="D60" s="7"/>
      <c r="E60" s="9" t="str">
        <f t="shared" si="1"/>
        <v/>
      </c>
      <c r="F60" s="10"/>
      <c r="G60" s="10"/>
      <c r="L60" s="11"/>
      <c r="M60" s="11"/>
      <c r="N60" s="11"/>
    </row>
    <row r="61" spans="1:14">
      <c r="A61" s="6"/>
      <c r="B61" s="7"/>
      <c r="C61" s="8" t="str">
        <f t="shared" si="0"/>
        <v/>
      </c>
      <c r="D61" s="7"/>
      <c r="E61" s="9" t="str">
        <f t="shared" si="1"/>
        <v/>
      </c>
      <c r="F61" s="10"/>
      <c r="G61" s="10"/>
      <c r="L61" s="11"/>
      <c r="M61" s="11"/>
      <c r="N61" s="11"/>
    </row>
    <row r="62" spans="1:14">
      <c r="A62" s="6"/>
      <c r="B62" s="7"/>
      <c r="C62" s="8" t="str">
        <f t="shared" si="0"/>
        <v/>
      </c>
      <c r="D62" s="7"/>
      <c r="E62" s="9" t="str">
        <f t="shared" si="1"/>
        <v/>
      </c>
      <c r="F62" s="10"/>
      <c r="G62" s="10"/>
      <c r="L62" s="11"/>
      <c r="M62" s="11"/>
      <c r="N62" s="11"/>
    </row>
    <row r="63" spans="1:14">
      <c r="A63" s="6"/>
      <c r="B63" s="7"/>
      <c r="C63" s="8" t="str">
        <f t="shared" si="0"/>
        <v/>
      </c>
      <c r="D63" s="7"/>
      <c r="E63" s="9" t="str">
        <f t="shared" si="1"/>
        <v/>
      </c>
      <c r="F63" s="10"/>
      <c r="G63" s="10"/>
      <c r="L63" s="11"/>
      <c r="M63" s="11"/>
      <c r="N63" s="11"/>
    </row>
    <row r="64" spans="1:14">
      <c r="A64" s="6"/>
      <c r="B64" s="7"/>
      <c r="C64" s="8" t="str">
        <f t="shared" si="0"/>
        <v/>
      </c>
      <c r="D64" s="7"/>
      <c r="E64" s="9" t="str">
        <f t="shared" si="1"/>
        <v/>
      </c>
      <c r="F64" s="10"/>
      <c r="G64" s="10"/>
      <c r="L64" s="11"/>
      <c r="M64" s="11"/>
      <c r="N64" s="11"/>
    </row>
    <row r="65" spans="1:14">
      <c r="A65" s="6"/>
      <c r="B65" s="7"/>
      <c r="C65" s="8" t="str">
        <f t="shared" si="0"/>
        <v/>
      </c>
      <c r="D65" s="7"/>
      <c r="E65" s="9" t="str">
        <f t="shared" si="1"/>
        <v/>
      </c>
      <c r="F65" s="10"/>
      <c r="G65" s="10"/>
      <c r="L65" s="11"/>
      <c r="M65" s="11"/>
      <c r="N65" s="11"/>
    </row>
    <row r="66" spans="1:14">
      <c r="A66" s="6"/>
      <c r="B66" s="7"/>
      <c r="C66" s="8" t="str">
        <f t="shared" si="0"/>
        <v/>
      </c>
      <c r="D66" s="7"/>
      <c r="E66" s="9" t="str">
        <f t="shared" si="1"/>
        <v/>
      </c>
      <c r="F66" s="10"/>
      <c r="G66" s="10"/>
      <c r="L66" s="11"/>
      <c r="M66" s="11"/>
      <c r="N66" s="11"/>
    </row>
    <row r="67" spans="1:14">
      <c r="A67" s="6"/>
      <c r="B67" s="7"/>
      <c r="C67" s="8" t="str">
        <f t="shared" si="0"/>
        <v/>
      </c>
      <c r="D67" s="7"/>
      <c r="E67" s="9" t="str">
        <f t="shared" si="1"/>
        <v/>
      </c>
      <c r="F67" s="10"/>
      <c r="G67" s="10"/>
      <c r="L67" s="11"/>
      <c r="M67" s="11"/>
      <c r="N67" s="11"/>
    </row>
    <row r="68" spans="1:14">
      <c r="A68" s="6"/>
      <c r="B68" s="7"/>
      <c r="C68" s="8" t="str">
        <f t="shared" si="0"/>
        <v/>
      </c>
      <c r="D68" s="7"/>
      <c r="E68" s="9" t="str">
        <f t="shared" si="1"/>
        <v/>
      </c>
      <c r="F68" s="10"/>
      <c r="G68" s="10"/>
      <c r="L68" s="11"/>
      <c r="M68" s="11"/>
      <c r="N68" s="11"/>
    </row>
    <row r="69" spans="1:14">
      <c r="A69" s="6"/>
      <c r="B69" s="7"/>
      <c r="C69" s="8" t="str">
        <f t="shared" ref="C69:C132" si="2">IF(B69="","","0x"&amp;MID("0123456789ABCDEF",INT(B69/16)+1,1)&amp;MID("0123456789ABCDEF",MOD(B69,16)+1,1))</f>
        <v/>
      </c>
      <c r="D69" s="7"/>
      <c r="E69" s="9" t="str">
        <f t="shared" ref="E69:E132" si="3">IF(D69="","","0x"&amp;MID("0123456789ABCDEF",INT(D69/16)+1,1)&amp;MID("0123456789ABCDEF",MOD(D69,16)+1,1))</f>
        <v/>
      </c>
      <c r="F69" s="10"/>
      <c r="G69" s="10"/>
      <c r="L69" s="11"/>
      <c r="M69" s="11"/>
      <c r="N69" s="11"/>
    </row>
    <row r="70" spans="1:14">
      <c r="A70" s="6"/>
      <c r="B70" s="7"/>
      <c r="C70" s="8" t="str">
        <f t="shared" si="2"/>
        <v/>
      </c>
      <c r="D70" s="7"/>
      <c r="E70" s="9" t="str">
        <f t="shared" si="3"/>
        <v/>
      </c>
      <c r="F70" s="10"/>
      <c r="G70" s="10"/>
      <c r="L70" s="11"/>
      <c r="M70" s="11"/>
      <c r="N70" s="11"/>
    </row>
    <row r="71" spans="1:14">
      <c r="A71" s="6"/>
      <c r="B71" s="7"/>
      <c r="C71" s="8" t="str">
        <f t="shared" si="2"/>
        <v/>
      </c>
      <c r="D71" s="7"/>
      <c r="E71" s="9" t="str">
        <f t="shared" si="3"/>
        <v/>
      </c>
      <c r="F71" s="10"/>
      <c r="G71" s="10"/>
      <c r="L71" s="11"/>
      <c r="M71" s="11"/>
      <c r="N71" s="11"/>
    </row>
    <row r="72" spans="1:14">
      <c r="A72" s="6"/>
      <c r="B72" s="7"/>
      <c r="C72" s="8" t="str">
        <f t="shared" si="2"/>
        <v/>
      </c>
      <c r="D72" s="7"/>
      <c r="E72" s="9" t="str">
        <f t="shared" si="3"/>
        <v/>
      </c>
      <c r="F72" s="10"/>
      <c r="G72" s="10"/>
      <c r="L72" s="11"/>
      <c r="M72" s="11"/>
      <c r="N72" s="11"/>
    </row>
    <row r="73" spans="1:14">
      <c r="A73" s="6"/>
      <c r="B73" s="7"/>
      <c r="C73" s="8" t="str">
        <f t="shared" si="2"/>
        <v/>
      </c>
      <c r="D73" s="7"/>
      <c r="E73" s="9" t="str">
        <f t="shared" si="3"/>
        <v/>
      </c>
      <c r="F73" s="10"/>
      <c r="G73" s="10"/>
      <c r="L73" s="11"/>
      <c r="M73" s="11"/>
      <c r="N73" s="11"/>
    </row>
    <row r="74" spans="1:14">
      <c r="A74" s="6"/>
      <c r="B74" s="7"/>
      <c r="C74" s="8" t="str">
        <f t="shared" si="2"/>
        <v/>
      </c>
      <c r="D74" s="7"/>
      <c r="E74" s="9" t="str">
        <f t="shared" si="3"/>
        <v/>
      </c>
      <c r="F74" s="10"/>
      <c r="G74" s="10"/>
      <c r="L74" s="11"/>
      <c r="M74" s="11"/>
      <c r="N74" s="11"/>
    </row>
    <row r="75" spans="1:14">
      <c r="A75" s="6"/>
      <c r="B75" s="7"/>
      <c r="C75" s="8" t="str">
        <f t="shared" si="2"/>
        <v/>
      </c>
      <c r="D75" s="7"/>
      <c r="E75" s="9" t="str">
        <f t="shared" si="3"/>
        <v/>
      </c>
      <c r="F75" s="10"/>
      <c r="G75" s="10"/>
      <c r="L75" s="11"/>
      <c r="M75" s="11"/>
      <c r="N75" s="11"/>
    </row>
    <row r="76" spans="1:14">
      <c r="A76" s="6"/>
      <c r="B76" s="7"/>
      <c r="C76" s="8" t="str">
        <f t="shared" si="2"/>
        <v/>
      </c>
      <c r="D76" s="7"/>
      <c r="E76" s="9" t="str">
        <f t="shared" si="3"/>
        <v/>
      </c>
      <c r="F76" s="10"/>
      <c r="G76" s="10"/>
      <c r="L76" s="11"/>
      <c r="M76" s="11"/>
      <c r="N76" s="11"/>
    </row>
    <row r="77" spans="1:14">
      <c r="A77" s="6"/>
      <c r="B77" s="7"/>
      <c r="C77" s="8" t="str">
        <f t="shared" si="2"/>
        <v/>
      </c>
      <c r="D77" s="7"/>
      <c r="E77" s="9" t="str">
        <f t="shared" si="3"/>
        <v/>
      </c>
      <c r="F77" s="10"/>
      <c r="G77" s="10"/>
      <c r="L77" s="11"/>
      <c r="M77" s="11"/>
      <c r="N77" s="11"/>
    </row>
    <row r="78" spans="1:14">
      <c r="A78" s="6"/>
      <c r="B78" s="7"/>
      <c r="C78" s="8" t="str">
        <f t="shared" si="2"/>
        <v/>
      </c>
      <c r="D78" s="7"/>
      <c r="E78" s="9" t="str">
        <f t="shared" si="3"/>
        <v/>
      </c>
      <c r="F78" s="10"/>
      <c r="G78" s="10"/>
      <c r="L78" s="11"/>
      <c r="M78" s="11"/>
      <c r="N78" s="11"/>
    </row>
    <row r="79" spans="1:14">
      <c r="A79" s="6"/>
      <c r="B79" s="7"/>
      <c r="C79" s="8" t="str">
        <f t="shared" si="2"/>
        <v/>
      </c>
      <c r="D79" s="7"/>
      <c r="E79" s="9" t="str">
        <f t="shared" si="3"/>
        <v/>
      </c>
      <c r="F79" s="10"/>
      <c r="G79" s="10"/>
      <c r="L79" s="11"/>
      <c r="M79" s="11"/>
      <c r="N79" s="11"/>
    </row>
    <row r="80" spans="1:14">
      <c r="A80" s="6"/>
      <c r="B80" s="7"/>
      <c r="C80" s="8" t="str">
        <f t="shared" si="2"/>
        <v/>
      </c>
      <c r="D80" s="7"/>
      <c r="E80" s="9" t="str">
        <f t="shared" si="3"/>
        <v/>
      </c>
      <c r="F80" s="10"/>
      <c r="G80" s="10"/>
      <c r="L80" s="11"/>
      <c r="M80" s="11"/>
      <c r="N80" s="11"/>
    </row>
    <row r="81" spans="1:14">
      <c r="A81" s="6"/>
      <c r="B81" s="7"/>
      <c r="C81" s="8" t="str">
        <f t="shared" si="2"/>
        <v/>
      </c>
      <c r="D81" s="7"/>
      <c r="E81" s="9" t="str">
        <f t="shared" si="3"/>
        <v/>
      </c>
      <c r="F81" s="10"/>
      <c r="G81" s="10"/>
      <c r="L81" s="11"/>
      <c r="M81" s="11"/>
      <c r="N81" s="11"/>
    </row>
    <row r="82" spans="1:14">
      <c r="A82" s="6"/>
      <c r="B82" s="7"/>
      <c r="C82" s="8" t="str">
        <f t="shared" si="2"/>
        <v/>
      </c>
      <c r="D82" s="7"/>
      <c r="E82" s="9" t="str">
        <f t="shared" si="3"/>
        <v/>
      </c>
      <c r="F82" s="10"/>
      <c r="G82" s="10"/>
      <c r="L82" s="11"/>
      <c r="M82" s="11"/>
      <c r="N82" s="11"/>
    </row>
    <row r="83" spans="1:14">
      <c r="A83" s="6"/>
      <c r="B83" s="7"/>
      <c r="C83" s="8" t="str">
        <f t="shared" si="2"/>
        <v/>
      </c>
      <c r="D83" s="7"/>
      <c r="E83" s="9" t="str">
        <f t="shared" si="3"/>
        <v/>
      </c>
      <c r="F83" s="10"/>
      <c r="G83" s="10"/>
      <c r="L83" s="11"/>
      <c r="M83" s="11"/>
      <c r="N83" s="11"/>
    </row>
    <row r="84" spans="1:14">
      <c r="A84" s="6"/>
      <c r="B84" s="7"/>
      <c r="C84" s="8" t="str">
        <f t="shared" si="2"/>
        <v/>
      </c>
      <c r="D84" s="7"/>
      <c r="E84" s="9" t="str">
        <f t="shared" si="3"/>
        <v/>
      </c>
      <c r="F84" s="10"/>
      <c r="G84" s="10"/>
      <c r="L84" s="11"/>
      <c r="M84" s="11"/>
      <c r="N84" s="11"/>
    </row>
    <row r="85" spans="1:14">
      <c r="A85" s="6"/>
      <c r="B85" s="7"/>
      <c r="C85" s="8" t="str">
        <f t="shared" si="2"/>
        <v/>
      </c>
      <c r="D85" s="7"/>
      <c r="E85" s="9" t="str">
        <f t="shared" si="3"/>
        <v/>
      </c>
      <c r="F85" s="10"/>
      <c r="G85" s="10"/>
      <c r="L85" s="11"/>
      <c r="M85" s="11"/>
      <c r="N85" s="11"/>
    </row>
    <row r="86" spans="1:14">
      <c r="A86" s="6"/>
      <c r="B86" s="7"/>
      <c r="C86" s="8" t="str">
        <f t="shared" si="2"/>
        <v/>
      </c>
      <c r="D86" s="7"/>
      <c r="E86" s="9" t="str">
        <f t="shared" si="3"/>
        <v/>
      </c>
      <c r="F86" s="10"/>
      <c r="G86" s="10"/>
      <c r="L86" s="11"/>
      <c r="M86" s="11"/>
      <c r="N86" s="11"/>
    </row>
    <row r="87" spans="1:14">
      <c r="A87" s="6"/>
      <c r="B87" s="7"/>
      <c r="C87" s="8" t="str">
        <f t="shared" si="2"/>
        <v/>
      </c>
      <c r="D87" s="7"/>
      <c r="E87" s="9" t="str">
        <f t="shared" si="3"/>
        <v/>
      </c>
      <c r="F87" s="10"/>
      <c r="G87" s="10"/>
      <c r="L87" s="11"/>
      <c r="M87" s="11"/>
      <c r="N87" s="11"/>
    </row>
    <row r="88" spans="1:14">
      <c r="A88" s="6"/>
      <c r="B88" s="7"/>
      <c r="C88" s="8" t="str">
        <f t="shared" si="2"/>
        <v/>
      </c>
      <c r="D88" s="7"/>
      <c r="E88" s="9" t="str">
        <f t="shared" si="3"/>
        <v/>
      </c>
      <c r="F88" s="10"/>
      <c r="G88" s="10"/>
      <c r="L88" s="11"/>
      <c r="M88" s="11"/>
      <c r="N88" s="11"/>
    </row>
    <row r="89" spans="1:14">
      <c r="A89" s="6"/>
      <c r="B89" s="7"/>
      <c r="C89" s="8" t="str">
        <f t="shared" si="2"/>
        <v/>
      </c>
      <c r="D89" s="7"/>
      <c r="E89" s="9" t="str">
        <f t="shared" si="3"/>
        <v/>
      </c>
      <c r="F89" s="10"/>
      <c r="G89" s="10"/>
      <c r="L89" s="11"/>
      <c r="M89" s="11"/>
      <c r="N89" s="11"/>
    </row>
    <row r="90" spans="1:14">
      <c r="A90" s="6"/>
      <c r="B90" s="7"/>
      <c r="C90" s="8" t="str">
        <f t="shared" si="2"/>
        <v/>
      </c>
      <c r="D90" s="7"/>
      <c r="E90" s="9" t="str">
        <f t="shared" si="3"/>
        <v/>
      </c>
      <c r="F90" s="10"/>
      <c r="G90" s="10"/>
      <c r="L90" s="11"/>
      <c r="M90" s="11"/>
      <c r="N90" s="11"/>
    </row>
    <row r="91" spans="1:14">
      <c r="A91" s="6"/>
      <c r="B91" s="7"/>
      <c r="C91" s="8" t="str">
        <f t="shared" si="2"/>
        <v/>
      </c>
      <c r="D91" s="7"/>
      <c r="E91" s="9" t="str">
        <f t="shared" si="3"/>
        <v/>
      </c>
      <c r="F91" s="10"/>
      <c r="G91" s="10"/>
      <c r="L91" s="11"/>
      <c r="M91" s="11"/>
      <c r="N91" s="11"/>
    </row>
    <row r="92" spans="1:14">
      <c r="A92" s="6"/>
      <c r="B92" s="7"/>
      <c r="C92" s="8" t="str">
        <f t="shared" si="2"/>
        <v/>
      </c>
      <c r="D92" s="7"/>
      <c r="E92" s="9" t="str">
        <f t="shared" si="3"/>
        <v/>
      </c>
      <c r="F92" s="10"/>
      <c r="G92" s="10"/>
      <c r="L92" s="11"/>
      <c r="M92" s="11"/>
      <c r="N92" s="11"/>
    </row>
    <row r="93" spans="1:14">
      <c r="A93" s="6"/>
      <c r="B93" s="7"/>
      <c r="C93" s="8" t="str">
        <f t="shared" si="2"/>
        <v/>
      </c>
      <c r="D93" s="7"/>
      <c r="E93" s="9" t="str">
        <f t="shared" si="3"/>
        <v/>
      </c>
      <c r="F93" s="10"/>
      <c r="G93" s="10"/>
      <c r="L93" s="11"/>
      <c r="M93" s="11"/>
      <c r="N93" s="11"/>
    </row>
    <row r="94" spans="1:14">
      <c r="A94" s="6"/>
      <c r="B94" s="7"/>
      <c r="C94" s="8" t="str">
        <f t="shared" si="2"/>
        <v/>
      </c>
      <c r="D94" s="7"/>
      <c r="E94" s="9" t="str">
        <f t="shared" si="3"/>
        <v/>
      </c>
      <c r="F94" s="10"/>
      <c r="G94" s="10"/>
      <c r="L94" s="11"/>
      <c r="M94" s="11"/>
      <c r="N94" s="11"/>
    </row>
    <row r="95" spans="1:14">
      <c r="A95" s="6"/>
      <c r="B95" s="7"/>
      <c r="C95" s="8" t="str">
        <f t="shared" si="2"/>
        <v/>
      </c>
      <c r="D95" s="7"/>
      <c r="E95" s="9" t="str">
        <f t="shared" si="3"/>
        <v/>
      </c>
      <c r="F95" s="10"/>
      <c r="G95" s="10"/>
      <c r="L95" s="11"/>
      <c r="M95" s="11"/>
      <c r="N95" s="11"/>
    </row>
    <row r="96" spans="1:14">
      <c r="A96" s="6"/>
      <c r="B96" s="7"/>
      <c r="C96" s="8" t="str">
        <f t="shared" si="2"/>
        <v/>
      </c>
      <c r="D96" s="7"/>
      <c r="E96" s="9" t="str">
        <f t="shared" si="3"/>
        <v/>
      </c>
      <c r="F96" s="10"/>
      <c r="G96" s="10"/>
      <c r="L96" s="11"/>
      <c r="M96" s="11"/>
      <c r="N96" s="11"/>
    </row>
    <row r="97" spans="1:14">
      <c r="A97" s="6"/>
      <c r="B97" s="7"/>
      <c r="C97" s="8" t="str">
        <f t="shared" si="2"/>
        <v/>
      </c>
      <c r="D97" s="7"/>
      <c r="E97" s="9" t="str">
        <f t="shared" si="3"/>
        <v/>
      </c>
      <c r="F97" s="10"/>
      <c r="G97" s="10"/>
      <c r="L97" s="11"/>
      <c r="M97" s="11"/>
      <c r="N97" s="11"/>
    </row>
    <row r="98" spans="1:14">
      <c r="A98" s="6"/>
      <c r="B98" s="7"/>
      <c r="C98" s="8" t="str">
        <f t="shared" si="2"/>
        <v/>
      </c>
      <c r="D98" s="7"/>
      <c r="E98" s="9" t="str">
        <f t="shared" si="3"/>
        <v/>
      </c>
      <c r="F98" s="10"/>
      <c r="G98" s="10"/>
      <c r="L98" s="11"/>
      <c r="M98" s="11"/>
      <c r="N98" s="11"/>
    </row>
    <row r="99" spans="1:14">
      <c r="A99" s="6"/>
      <c r="B99" s="7"/>
      <c r="C99" s="8" t="str">
        <f t="shared" si="2"/>
        <v/>
      </c>
      <c r="D99" s="7"/>
      <c r="E99" s="9" t="str">
        <f t="shared" si="3"/>
        <v/>
      </c>
      <c r="F99" s="10"/>
      <c r="G99" s="10"/>
      <c r="L99" s="11"/>
      <c r="M99" s="11"/>
      <c r="N99" s="11"/>
    </row>
    <row r="100" spans="1:14">
      <c r="A100" s="6"/>
      <c r="B100" s="7"/>
      <c r="C100" s="8" t="str">
        <f t="shared" si="2"/>
        <v/>
      </c>
      <c r="D100" s="7"/>
      <c r="E100" s="9" t="str">
        <f t="shared" si="3"/>
        <v/>
      </c>
      <c r="F100" s="10"/>
      <c r="G100" s="10"/>
      <c r="L100" s="11"/>
      <c r="M100" s="11"/>
      <c r="N100" s="11"/>
    </row>
    <row r="101" spans="1:14">
      <c r="A101" s="6"/>
      <c r="B101" s="7"/>
      <c r="C101" s="8" t="str">
        <f t="shared" si="2"/>
        <v/>
      </c>
      <c r="D101" s="7"/>
      <c r="E101" s="9" t="str">
        <f t="shared" si="3"/>
        <v/>
      </c>
      <c r="F101" s="10"/>
      <c r="G101" s="10"/>
      <c r="L101" s="11"/>
      <c r="M101" s="11"/>
      <c r="N101" s="11"/>
    </row>
    <row r="102" spans="1:14">
      <c r="A102" s="6"/>
      <c r="B102" s="7"/>
      <c r="C102" s="8" t="str">
        <f t="shared" si="2"/>
        <v/>
      </c>
      <c r="D102" s="7"/>
      <c r="E102" s="9" t="str">
        <f t="shared" si="3"/>
        <v/>
      </c>
      <c r="F102" s="10"/>
      <c r="G102" s="10"/>
      <c r="L102" s="11"/>
      <c r="M102" s="11"/>
      <c r="N102" s="11"/>
    </row>
    <row r="103" spans="1:14">
      <c r="A103" s="6"/>
      <c r="B103" s="7"/>
      <c r="C103" s="8" t="str">
        <f t="shared" si="2"/>
        <v/>
      </c>
      <c r="D103" s="7"/>
      <c r="E103" s="9" t="str">
        <f t="shared" si="3"/>
        <v/>
      </c>
      <c r="F103" s="10"/>
      <c r="G103" s="10"/>
      <c r="L103" s="11"/>
      <c r="M103" s="11"/>
      <c r="N103" s="11"/>
    </row>
    <row r="104" spans="1:14">
      <c r="A104" s="6"/>
      <c r="B104" s="7"/>
      <c r="C104" s="8" t="str">
        <f t="shared" si="2"/>
        <v/>
      </c>
      <c r="D104" s="7"/>
      <c r="E104" s="9" t="str">
        <f t="shared" si="3"/>
        <v/>
      </c>
      <c r="F104" s="10"/>
      <c r="G104" s="10"/>
      <c r="L104" s="11"/>
      <c r="M104" s="11"/>
      <c r="N104" s="11"/>
    </row>
    <row r="105" spans="1:14">
      <c r="A105" s="6"/>
      <c r="B105" s="7"/>
      <c r="C105" s="8" t="str">
        <f t="shared" si="2"/>
        <v/>
      </c>
      <c r="D105" s="7"/>
      <c r="E105" s="9" t="str">
        <f t="shared" si="3"/>
        <v/>
      </c>
      <c r="F105" s="10"/>
      <c r="G105" s="10"/>
      <c r="L105" s="11"/>
      <c r="M105" s="11"/>
      <c r="N105" s="11"/>
    </row>
    <row r="106" spans="1:14">
      <c r="A106" s="6"/>
      <c r="B106" s="7"/>
      <c r="C106" s="8" t="str">
        <f t="shared" si="2"/>
        <v/>
      </c>
      <c r="D106" s="7"/>
      <c r="E106" s="9" t="str">
        <f t="shared" si="3"/>
        <v/>
      </c>
      <c r="F106" s="10"/>
      <c r="G106" s="10"/>
      <c r="L106" s="11"/>
      <c r="M106" s="11"/>
      <c r="N106" s="11"/>
    </row>
    <row r="107" spans="1:14">
      <c r="A107" s="6"/>
      <c r="B107" s="7"/>
      <c r="C107" s="8" t="str">
        <f t="shared" si="2"/>
        <v/>
      </c>
      <c r="D107" s="7"/>
      <c r="E107" s="9" t="str">
        <f t="shared" si="3"/>
        <v/>
      </c>
      <c r="F107" s="10"/>
      <c r="G107" s="10"/>
      <c r="L107" s="11"/>
      <c r="M107" s="11"/>
      <c r="N107" s="11"/>
    </row>
    <row r="108" spans="1:14">
      <c r="A108" s="6"/>
      <c r="B108" s="7"/>
      <c r="C108" s="8" t="str">
        <f t="shared" si="2"/>
        <v/>
      </c>
      <c r="D108" s="7"/>
      <c r="E108" s="9" t="str">
        <f t="shared" si="3"/>
        <v/>
      </c>
      <c r="F108" s="10"/>
      <c r="G108" s="10"/>
      <c r="L108" s="11"/>
      <c r="M108" s="11"/>
      <c r="N108" s="11"/>
    </row>
    <row r="109" spans="1:14">
      <c r="A109" s="6"/>
      <c r="B109" s="7"/>
      <c r="C109" s="8" t="str">
        <f t="shared" si="2"/>
        <v/>
      </c>
      <c r="D109" s="7"/>
      <c r="E109" s="9" t="str">
        <f t="shared" si="3"/>
        <v/>
      </c>
      <c r="F109" s="10"/>
      <c r="G109" s="10"/>
      <c r="L109" s="11"/>
      <c r="M109" s="11"/>
      <c r="N109" s="11"/>
    </row>
    <row r="110" spans="1:14">
      <c r="A110" s="6"/>
      <c r="B110" s="7"/>
      <c r="C110" s="8" t="str">
        <f t="shared" si="2"/>
        <v/>
      </c>
      <c r="D110" s="7"/>
      <c r="E110" s="9" t="str">
        <f t="shared" si="3"/>
        <v/>
      </c>
      <c r="F110" s="10"/>
      <c r="G110" s="10"/>
      <c r="L110" s="11"/>
      <c r="M110" s="11"/>
      <c r="N110" s="11"/>
    </row>
    <row r="111" spans="1:14">
      <c r="A111" s="6"/>
      <c r="B111" s="7"/>
      <c r="C111" s="8" t="str">
        <f t="shared" si="2"/>
        <v/>
      </c>
      <c r="D111" s="7"/>
      <c r="E111" s="9" t="str">
        <f t="shared" si="3"/>
        <v/>
      </c>
      <c r="F111" s="10"/>
      <c r="G111" s="10"/>
      <c r="L111" s="11"/>
      <c r="M111" s="11"/>
      <c r="N111" s="11"/>
    </row>
    <row r="112" spans="1:14">
      <c r="A112" s="6"/>
      <c r="B112" s="7"/>
      <c r="C112" s="8" t="str">
        <f t="shared" si="2"/>
        <v/>
      </c>
      <c r="D112" s="7"/>
      <c r="E112" s="9" t="str">
        <f t="shared" si="3"/>
        <v/>
      </c>
      <c r="F112" s="10"/>
      <c r="G112" s="10"/>
      <c r="L112" s="11"/>
      <c r="M112" s="11"/>
      <c r="N112" s="11"/>
    </row>
    <row r="113" spans="1:14">
      <c r="A113" s="6"/>
      <c r="B113" s="7"/>
      <c r="C113" s="8" t="str">
        <f t="shared" si="2"/>
        <v/>
      </c>
      <c r="D113" s="7"/>
      <c r="E113" s="9" t="str">
        <f t="shared" si="3"/>
        <v/>
      </c>
      <c r="F113" s="10"/>
      <c r="G113" s="10"/>
      <c r="L113" s="11"/>
      <c r="M113" s="11"/>
      <c r="N113" s="11"/>
    </row>
    <row r="114" spans="1:14">
      <c r="A114" s="6"/>
      <c r="B114" s="7"/>
      <c r="C114" s="8" t="str">
        <f t="shared" si="2"/>
        <v/>
      </c>
      <c r="D114" s="7"/>
      <c r="E114" s="9" t="str">
        <f t="shared" si="3"/>
        <v/>
      </c>
      <c r="F114" s="10"/>
      <c r="G114" s="10"/>
      <c r="L114" s="11"/>
      <c r="M114" s="11"/>
      <c r="N114" s="11"/>
    </row>
    <row r="115" spans="1:14">
      <c r="A115" s="6"/>
      <c r="B115" s="7"/>
      <c r="C115" s="8" t="str">
        <f t="shared" si="2"/>
        <v/>
      </c>
      <c r="D115" s="7"/>
      <c r="E115" s="9" t="str">
        <f t="shared" si="3"/>
        <v/>
      </c>
      <c r="F115" s="10"/>
      <c r="G115" s="10"/>
      <c r="L115" s="11"/>
      <c r="M115" s="11"/>
      <c r="N115" s="11"/>
    </row>
    <row r="116" spans="1:14">
      <c r="A116" s="6"/>
      <c r="B116" s="7"/>
      <c r="C116" s="8" t="str">
        <f t="shared" si="2"/>
        <v/>
      </c>
      <c r="D116" s="7"/>
      <c r="E116" s="9" t="str">
        <f t="shared" si="3"/>
        <v/>
      </c>
      <c r="F116" s="10"/>
      <c r="G116" s="10"/>
      <c r="L116" s="11"/>
      <c r="M116" s="11"/>
      <c r="N116" s="11"/>
    </row>
    <row r="117" spans="1:14">
      <c r="A117" s="6"/>
      <c r="B117" s="7"/>
      <c r="C117" s="8" t="str">
        <f t="shared" si="2"/>
        <v/>
      </c>
      <c r="D117" s="7"/>
      <c r="E117" s="9" t="str">
        <f t="shared" si="3"/>
        <v/>
      </c>
      <c r="F117" s="10"/>
      <c r="G117" s="10"/>
      <c r="L117" s="11"/>
      <c r="M117" s="11"/>
      <c r="N117" s="11"/>
    </row>
    <row r="118" spans="1:14">
      <c r="A118" s="6"/>
      <c r="B118" s="7"/>
      <c r="C118" s="8" t="str">
        <f t="shared" si="2"/>
        <v/>
      </c>
      <c r="D118" s="7"/>
      <c r="E118" s="9" t="str">
        <f t="shared" si="3"/>
        <v/>
      </c>
      <c r="F118" s="10"/>
      <c r="G118" s="10"/>
      <c r="L118" s="11"/>
      <c r="M118" s="11"/>
      <c r="N118" s="11"/>
    </row>
    <row r="119" spans="1:14">
      <c r="A119" s="6"/>
      <c r="B119" s="7"/>
      <c r="C119" s="8" t="str">
        <f t="shared" si="2"/>
        <v/>
      </c>
      <c r="D119" s="7"/>
      <c r="E119" s="9" t="str">
        <f t="shared" si="3"/>
        <v/>
      </c>
      <c r="F119" s="10"/>
      <c r="G119" s="10"/>
      <c r="L119" s="11"/>
      <c r="M119" s="11"/>
      <c r="N119" s="11"/>
    </row>
    <row r="120" spans="1:14">
      <c r="A120" s="6"/>
      <c r="B120" s="7"/>
      <c r="C120" s="8" t="str">
        <f t="shared" si="2"/>
        <v/>
      </c>
      <c r="D120" s="7"/>
      <c r="E120" s="9" t="str">
        <f t="shared" si="3"/>
        <v/>
      </c>
      <c r="F120" s="10"/>
      <c r="G120" s="10"/>
      <c r="L120" s="11"/>
      <c r="M120" s="11"/>
      <c r="N120" s="11"/>
    </row>
    <row r="121" spans="1:14">
      <c r="A121" s="6"/>
      <c r="B121" s="7"/>
      <c r="C121" s="8" t="str">
        <f t="shared" si="2"/>
        <v/>
      </c>
      <c r="D121" s="7"/>
      <c r="E121" s="9" t="str">
        <f t="shared" si="3"/>
        <v/>
      </c>
      <c r="F121" s="10"/>
      <c r="G121" s="10"/>
      <c r="L121" s="11"/>
      <c r="M121" s="11"/>
      <c r="N121" s="11"/>
    </row>
    <row r="122" spans="1:14">
      <c r="A122" s="6"/>
      <c r="B122" s="7"/>
      <c r="C122" s="8" t="str">
        <f t="shared" si="2"/>
        <v/>
      </c>
      <c r="D122" s="7"/>
      <c r="E122" s="9" t="str">
        <f t="shared" si="3"/>
        <v/>
      </c>
      <c r="F122" s="10"/>
      <c r="G122" s="10"/>
      <c r="L122" s="11"/>
      <c r="M122" s="11"/>
      <c r="N122" s="11"/>
    </row>
    <row r="123" spans="1:14">
      <c r="A123" s="6"/>
      <c r="B123" s="7"/>
      <c r="C123" s="8" t="str">
        <f t="shared" si="2"/>
        <v/>
      </c>
      <c r="D123" s="7"/>
      <c r="E123" s="9" t="str">
        <f t="shared" si="3"/>
        <v/>
      </c>
      <c r="F123" s="10"/>
      <c r="G123" s="10"/>
      <c r="L123" s="11"/>
      <c r="M123" s="11"/>
      <c r="N123" s="11"/>
    </row>
    <row r="124" spans="1:14">
      <c r="A124" s="6"/>
      <c r="B124" s="7"/>
      <c r="C124" s="8" t="str">
        <f t="shared" si="2"/>
        <v/>
      </c>
      <c r="D124" s="7"/>
      <c r="E124" s="9" t="str">
        <f t="shared" si="3"/>
        <v/>
      </c>
      <c r="F124" s="10"/>
      <c r="G124" s="10"/>
      <c r="L124" s="11"/>
      <c r="M124" s="11"/>
      <c r="N124" s="11"/>
    </row>
    <row r="125" spans="1:14">
      <c r="A125" s="6"/>
      <c r="B125" s="7"/>
      <c r="C125" s="8" t="str">
        <f t="shared" si="2"/>
        <v/>
      </c>
      <c r="D125" s="7"/>
      <c r="E125" s="9" t="str">
        <f t="shared" si="3"/>
        <v/>
      </c>
      <c r="F125" s="10"/>
      <c r="G125" s="10"/>
      <c r="L125" s="11"/>
      <c r="M125" s="11"/>
      <c r="N125" s="11"/>
    </row>
    <row r="126" spans="1:14">
      <c r="A126" s="6"/>
      <c r="B126" s="7"/>
      <c r="C126" s="8" t="str">
        <f t="shared" si="2"/>
        <v/>
      </c>
      <c r="D126" s="7"/>
      <c r="E126" s="9" t="str">
        <f t="shared" si="3"/>
        <v/>
      </c>
      <c r="F126" s="10"/>
      <c r="G126" s="10"/>
      <c r="L126" s="11"/>
      <c r="M126" s="11"/>
      <c r="N126" s="11"/>
    </row>
    <row r="127" spans="1:14">
      <c r="A127" s="6"/>
      <c r="B127" s="7"/>
      <c r="C127" s="8" t="str">
        <f t="shared" si="2"/>
        <v/>
      </c>
      <c r="D127" s="7"/>
      <c r="E127" s="9" t="str">
        <f t="shared" si="3"/>
        <v/>
      </c>
      <c r="F127" s="10"/>
      <c r="G127" s="10"/>
      <c r="L127" s="11"/>
      <c r="M127" s="11"/>
      <c r="N127" s="11"/>
    </row>
    <row r="128" spans="1:14">
      <c r="A128" s="6"/>
      <c r="B128" s="7"/>
      <c r="C128" s="8" t="str">
        <f t="shared" si="2"/>
        <v/>
      </c>
      <c r="D128" s="7"/>
      <c r="E128" s="9" t="str">
        <f t="shared" si="3"/>
        <v/>
      </c>
      <c r="F128" s="10"/>
      <c r="G128" s="10"/>
      <c r="L128" s="11"/>
      <c r="M128" s="11"/>
      <c r="N128" s="11"/>
    </row>
    <row r="129" spans="1:14">
      <c r="A129" s="6"/>
      <c r="B129" s="7"/>
      <c r="C129" s="8" t="str">
        <f t="shared" si="2"/>
        <v/>
      </c>
      <c r="D129" s="7"/>
      <c r="E129" s="9" t="str">
        <f t="shared" si="3"/>
        <v/>
      </c>
      <c r="F129" s="10"/>
      <c r="G129" s="10"/>
      <c r="L129" s="11"/>
      <c r="M129" s="11"/>
      <c r="N129" s="11"/>
    </row>
    <row r="130" spans="1:14">
      <c r="A130" s="6"/>
      <c r="B130" s="7"/>
      <c r="C130" s="8" t="str">
        <f t="shared" si="2"/>
        <v/>
      </c>
      <c r="D130" s="7"/>
      <c r="E130" s="9" t="str">
        <f t="shared" si="3"/>
        <v/>
      </c>
      <c r="F130" s="10"/>
      <c r="G130" s="10"/>
      <c r="L130" s="11"/>
      <c r="M130" s="11"/>
      <c r="N130" s="11"/>
    </row>
    <row r="131" spans="1:14">
      <c r="A131" s="6"/>
      <c r="B131" s="7"/>
      <c r="C131" s="8" t="str">
        <f t="shared" si="2"/>
        <v/>
      </c>
      <c r="D131" s="7"/>
      <c r="E131" s="9" t="str">
        <f t="shared" si="3"/>
        <v/>
      </c>
      <c r="F131" s="10"/>
      <c r="G131" s="10"/>
      <c r="L131" s="11"/>
      <c r="M131" s="11"/>
      <c r="N131" s="11"/>
    </row>
    <row r="132" spans="1:14">
      <c r="A132" s="6"/>
      <c r="B132" s="7"/>
      <c r="C132" s="8" t="str">
        <f t="shared" si="2"/>
        <v/>
      </c>
      <c r="D132" s="7"/>
      <c r="E132" s="9" t="str">
        <f t="shared" si="3"/>
        <v/>
      </c>
      <c r="F132" s="10"/>
      <c r="G132" s="10"/>
      <c r="L132" s="11"/>
      <c r="M132" s="11"/>
      <c r="N132" s="11"/>
    </row>
    <row r="133" spans="1:14">
      <c r="A133" s="6"/>
      <c r="B133" s="7"/>
      <c r="C133" s="8" t="str">
        <f t="shared" ref="C133:C196" si="4">IF(B133="","","0x"&amp;MID("0123456789ABCDEF",INT(B133/16)+1,1)&amp;MID("0123456789ABCDEF",MOD(B133,16)+1,1))</f>
        <v/>
      </c>
      <c r="D133" s="7"/>
      <c r="E133" s="9" t="str">
        <f t="shared" ref="E133:E196" si="5">IF(D133="","","0x"&amp;MID("0123456789ABCDEF",INT(D133/16)+1,1)&amp;MID("0123456789ABCDEF",MOD(D133,16)+1,1))</f>
        <v/>
      </c>
      <c r="F133" s="10"/>
      <c r="G133" s="10"/>
      <c r="L133" s="11"/>
      <c r="M133" s="11"/>
      <c r="N133" s="11"/>
    </row>
    <row r="134" spans="1:14">
      <c r="A134" s="6"/>
      <c r="B134" s="7"/>
      <c r="C134" s="8" t="str">
        <f t="shared" si="4"/>
        <v/>
      </c>
      <c r="D134" s="7"/>
      <c r="E134" s="9" t="str">
        <f t="shared" si="5"/>
        <v/>
      </c>
      <c r="F134" s="10"/>
      <c r="G134" s="10"/>
      <c r="L134" s="11"/>
      <c r="M134" s="11"/>
      <c r="N134" s="11"/>
    </row>
    <row r="135" spans="1:14">
      <c r="A135" s="6"/>
      <c r="B135" s="7"/>
      <c r="C135" s="8" t="str">
        <f t="shared" si="4"/>
        <v/>
      </c>
      <c r="D135" s="7"/>
      <c r="E135" s="9" t="str">
        <f t="shared" si="5"/>
        <v/>
      </c>
      <c r="F135" s="10"/>
      <c r="G135" s="10"/>
      <c r="L135" s="11"/>
      <c r="M135" s="11"/>
      <c r="N135" s="11"/>
    </row>
    <row r="136" spans="1:14">
      <c r="A136" s="6"/>
      <c r="B136" s="7"/>
      <c r="C136" s="8" t="str">
        <f t="shared" si="4"/>
        <v/>
      </c>
      <c r="D136" s="7"/>
      <c r="E136" s="9" t="str">
        <f t="shared" si="5"/>
        <v/>
      </c>
      <c r="F136" s="10"/>
      <c r="G136" s="10"/>
      <c r="L136" s="11"/>
      <c r="M136" s="11"/>
      <c r="N136" s="11"/>
    </row>
    <row r="137" spans="1:14">
      <c r="A137" s="6"/>
      <c r="B137" s="7"/>
      <c r="C137" s="8" t="str">
        <f t="shared" si="4"/>
        <v/>
      </c>
      <c r="D137" s="7"/>
      <c r="E137" s="9" t="str">
        <f t="shared" si="5"/>
        <v/>
      </c>
      <c r="F137" s="10"/>
      <c r="G137" s="10"/>
      <c r="L137" s="11"/>
      <c r="M137" s="11"/>
      <c r="N137" s="11"/>
    </row>
    <row r="138" spans="1:14">
      <c r="A138" s="6"/>
      <c r="B138" s="7"/>
      <c r="C138" s="8" t="str">
        <f t="shared" si="4"/>
        <v/>
      </c>
      <c r="D138" s="7"/>
      <c r="E138" s="9" t="str">
        <f t="shared" si="5"/>
        <v/>
      </c>
      <c r="F138" s="10"/>
      <c r="G138" s="10"/>
      <c r="L138" s="11"/>
      <c r="M138" s="11"/>
      <c r="N138" s="11"/>
    </row>
    <row r="139" spans="1:14">
      <c r="A139" s="6"/>
      <c r="B139" s="7"/>
      <c r="C139" s="8" t="str">
        <f t="shared" si="4"/>
        <v/>
      </c>
      <c r="D139" s="7"/>
      <c r="E139" s="9" t="str">
        <f t="shared" si="5"/>
        <v/>
      </c>
      <c r="F139" s="10"/>
      <c r="G139" s="10"/>
      <c r="L139" s="11"/>
      <c r="M139" s="11"/>
      <c r="N139" s="11"/>
    </row>
    <row r="140" spans="1:14">
      <c r="A140" s="6"/>
      <c r="B140" s="7"/>
      <c r="C140" s="8" t="str">
        <f t="shared" si="4"/>
        <v/>
      </c>
      <c r="D140" s="7"/>
      <c r="E140" s="9" t="str">
        <f t="shared" si="5"/>
        <v/>
      </c>
      <c r="F140" s="10"/>
      <c r="G140" s="10"/>
      <c r="L140" s="11"/>
      <c r="M140" s="11"/>
      <c r="N140" s="11"/>
    </row>
    <row r="141" spans="1:14">
      <c r="A141" s="6"/>
      <c r="B141" s="7"/>
      <c r="C141" s="8" t="str">
        <f t="shared" si="4"/>
        <v/>
      </c>
      <c r="D141" s="7"/>
      <c r="E141" s="9" t="str">
        <f t="shared" si="5"/>
        <v/>
      </c>
      <c r="F141" s="10"/>
      <c r="G141" s="10"/>
      <c r="L141" s="11"/>
      <c r="M141" s="11"/>
      <c r="N141" s="11"/>
    </row>
    <row r="142" spans="1:14">
      <c r="A142" s="6"/>
      <c r="B142" s="7"/>
      <c r="C142" s="8" t="str">
        <f t="shared" si="4"/>
        <v/>
      </c>
      <c r="D142" s="7"/>
      <c r="E142" s="9" t="str">
        <f t="shared" si="5"/>
        <v/>
      </c>
      <c r="F142" s="10"/>
      <c r="G142" s="10"/>
      <c r="L142" s="11"/>
      <c r="M142" s="11"/>
      <c r="N142" s="11"/>
    </row>
    <row r="143" spans="1:14">
      <c r="A143" s="6"/>
      <c r="B143" s="7"/>
      <c r="C143" s="8" t="str">
        <f t="shared" si="4"/>
        <v/>
      </c>
      <c r="D143" s="7"/>
      <c r="E143" s="9" t="str">
        <f t="shared" si="5"/>
        <v/>
      </c>
      <c r="F143" s="10"/>
      <c r="G143" s="10"/>
      <c r="L143" s="11"/>
      <c r="M143" s="11"/>
      <c r="N143" s="11"/>
    </row>
    <row r="144" spans="1:14">
      <c r="A144" s="6"/>
      <c r="B144" s="7"/>
      <c r="C144" s="8" t="str">
        <f t="shared" si="4"/>
        <v/>
      </c>
      <c r="D144" s="7"/>
      <c r="E144" s="9" t="str">
        <f t="shared" si="5"/>
        <v/>
      </c>
      <c r="F144" s="10"/>
      <c r="G144" s="10"/>
      <c r="L144" s="11"/>
      <c r="M144" s="11"/>
      <c r="N144" s="11"/>
    </row>
    <row r="145" spans="1:14">
      <c r="A145" s="6"/>
      <c r="B145" s="7"/>
      <c r="C145" s="8" t="str">
        <f t="shared" si="4"/>
        <v/>
      </c>
      <c r="D145" s="7"/>
      <c r="E145" s="9" t="str">
        <f t="shared" si="5"/>
        <v/>
      </c>
      <c r="F145" s="10"/>
      <c r="G145" s="10"/>
      <c r="L145" s="11"/>
      <c r="M145" s="11"/>
      <c r="N145" s="11"/>
    </row>
    <row r="146" spans="1:14">
      <c r="A146" s="6"/>
      <c r="B146" s="7"/>
      <c r="C146" s="8" t="str">
        <f t="shared" si="4"/>
        <v/>
      </c>
      <c r="D146" s="7"/>
      <c r="E146" s="9" t="str">
        <f t="shared" si="5"/>
        <v/>
      </c>
      <c r="F146" s="10"/>
      <c r="G146" s="10"/>
      <c r="L146" s="11"/>
      <c r="M146" s="11"/>
      <c r="N146" s="11"/>
    </row>
    <row r="147" spans="1:14">
      <c r="A147" s="6"/>
      <c r="B147" s="7"/>
      <c r="C147" s="8" t="str">
        <f t="shared" si="4"/>
        <v/>
      </c>
      <c r="D147" s="7"/>
      <c r="E147" s="9" t="str">
        <f t="shared" si="5"/>
        <v/>
      </c>
      <c r="F147" s="10"/>
      <c r="G147" s="10"/>
      <c r="L147" s="11"/>
      <c r="M147" s="11"/>
      <c r="N147" s="11"/>
    </row>
    <row r="148" spans="1:14">
      <c r="A148" s="6"/>
      <c r="B148" s="7"/>
      <c r="C148" s="8" t="str">
        <f t="shared" si="4"/>
        <v/>
      </c>
      <c r="D148" s="7"/>
      <c r="E148" s="9" t="str">
        <f t="shared" si="5"/>
        <v/>
      </c>
      <c r="F148" s="10"/>
      <c r="G148" s="10"/>
      <c r="L148" s="11"/>
      <c r="M148" s="11"/>
      <c r="N148" s="11"/>
    </row>
    <row r="149" spans="1:14">
      <c r="A149" s="6"/>
      <c r="B149" s="7"/>
      <c r="C149" s="8" t="str">
        <f t="shared" si="4"/>
        <v/>
      </c>
      <c r="D149" s="7"/>
      <c r="E149" s="9" t="str">
        <f t="shared" si="5"/>
        <v/>
      </c>
      <c r="F149" s="10"/>
      <c r="G149" s="10"/>
      <c r="L149" s="11"/>
      <c r="M149" s="11"/>
      <c r="N149" s="11"/>
    </row>
    <row r="150" spans="1:14">
      <c r="A150" s="6"/>
      <c r="B150" s="7"/>
      <c r="C150" s="8" t="str">
        <f t="shared" si="4"/>
        <v/>
      </c>
      <c r="D150" s="7"/>
      <c r="E150" s="9" t="str">
        <f t="shared" si="5"/>
        <v/>
      </c>
      <c r="F150" s="10"/>
      <c r="G150" s="10"/>
      <c r="L150" s="11"/>
      <c r="M150" s="11"/>
      <c r="N150" s="11"/>
    </row>
    <row r="151" spans="1:14">
      <c r="A151" s="6"/>
      <c r="B151" s="7"/>
      <c r="C151" s="8" t="str">
        <f t="shared" si="4"/>
        <v/>
      </c>
      <c r="D151" s="7"/>
      <c r="E151" s="9" t="str">
        <f t="shared" si="5"/>
        <v/>
      </c>
      <c r="F151" s="10"/>
      <c r="G151" s="10"/>
      <c r="L151" s="11"/>
      <c r="M151" s="11"/>
      <c r="N151" s="11"/>
    </row>
    <row r="152" spans="1:14">
      <c r="A152" s="6"/>
      <c r="B152" s="7"/>
      <c r="C152" s="8" t="str">
        <f t="shared" si="4"/>
        <v/>
      </c>
      <c r="D152" s="7"/>
      <c r="E152" s="9" t="str">
        <f t="shared" si="5"/>
        <v/>
      </c>
      <c r="F152" s="10"/>
      <c r="G152" s="10"/>
      <c r="L152" s="11"/>
      <c r="M152" s="11"/>
      <c r="N152" s="11"/>
    </row>
    <row r="153" spans="1:14">
      <c r="A153" s="6"/>
      <c r="B153" s="7"/>
      <c r="C153" s="8" t="str">
        <f t="shared" si="4"/>
        <v/>
      </c>
      <c r="D153" s="7"/>
      <c r="E153" s="9" t="str">
        <f t="shared" si="5"/>
        <v/>
      </c>
      <c r="F153" s="10"/>
      <c r="G153" s="10"/>
      <c r="L153" s="11"/>
      <c r="M153" s="11"/>
      <c r="N153" s="11"/>
    </row>
    <row r="154" spans="1:14">
      <c r="A154" s="6"/>
      <c r="B154" s="7"/>
      <c r="C154" s="8" t="str">
        <f t="shared" si="4"/>
        <v/>
      </c>
      <c r="D154" s="7"/>
      <c r="E154" s="9" t="str">
        <f t="shared" si="5"/>
        <v/>
      </c>
      <c r="F154" s="10"/>
      <c r="G154" s="10"/>
      <c r="L154" s="11"/>
      <c r="M154" s="11"/>
      <c r="N154" s="11"/>
    </row>
    <row r="155" spans="1:14">
      <c r="A155" s="6"/>
      <c r="B155" s="7"/>
      <c r="C155" s="8" t="str">
        <f t="shared" si="4"/>
        <v/>
      </c>
      <c r="D155" s="7"/>
      <c r="E155" s="9" t="str">
        <f t="shared" si="5"/>
        <v/>
      </c>
      <c r="F155" s="10"/>
      <c r="G155" s="10"/>
      <c r="L155" s="11"/>
      <c r="M155" s="11"/>
      <c r="N155" s="11"/>
    </row>
    <row r="156" spans="1:14">
      <c r="A156" s="6"/>
      <c r="B156" s="7"/>
      <c r="C156" s="8" t="str">
        <f t="shared" si="4"/>
        <v/>
      </c>
      <c r="D156" s="7"/>
      <c r="E156" s="9" t="str">
        <f t="shared" si="5"/>
        <v/>
      </c>
      <c r="F156" s="10"/>
      <c r="G156" s="10"/>
      <c r="L156" s="11"/>
      <c r="M156" s="11"/>
      <c r="N156" s="11"/>
    </row>
    <row r="157" spans="1:14">
      <c r="A157" s="6"/>
      <c r="B157" s="7"/>
      <c r="C157" s="8" t="str">
        <f t="shared" si="4"/>
        <v/>
      </c>
      <c r="D157" s="7"/>
      <c r="E157" s="9" t="str">
        <f t="shared" si="5"/>
        <v/>
      </c>
      <c r="F157" s="10"/>
      <c r="G157" s="10"/>
      <c r="L157" s="11"/>
      <c r="M157" s="11"/>
      <c r="N157" s="11"/>
    </row>
    <row r="158" spans="1:14">
      <c r="A158" s="6"/>
      <c r="B158" s="7"/>
      <c r="C158" s="8" t="str">
        <f t="shared" si="4"/>
        <v/>
      </c>
      <c r="D158" s="7"/>
      <c r="E158" s="9" t="str">
        <f t="shared" si="5"/>
        <v/>
      </c>
      <c r="F158" s="10"/>
      <c r="G158" s="10"/>
      <c r="L158" s="11"/>
      <c r="M158" s="11"/>
      <c r="N158" s="11"/>
    </row>
    <row r="159" spans="1:14">
      <c r="A159" s="6"/>
      <c r="B159" s="7"/>
      <c r="C159" s="8" t="str">
        <f t="shared" si="4"/>
        <v/>
      </c>
      <c r="D159" s="7"/>
      <c r="E159" s="9" t="str">
        <f t="shared" si="5"/>
        <v/>
      </c>
      <c r="F159" s="10"/>
      <c r="G159" s="10"/>
      <c r="L159" s="11"/>
      <c r="M159" s="11"/>
      <c r="N159" s="11"/>
    </row>
    <row r="160" spans="3:14">
      <c r="C160" t="str">
        <f t="shared" si="4"/>
        <v/>
      </c>
      <c r="D160" s="11"/>
      <c r="E160" s="11" t="str">
        <f t="shared" si="5"/>
        <v/>
      </c>
      <c r="F160" s="11"/>
      <c r="G160" s="11"/>
      <c r="L160" s="11"/>
      <c r="M160" s="11"/>
      <c r="N160" s="11"/>
    </row>
    <row r="161" spans="3:14">
      <c r="C161" t="str">
        <f t="shared" si="4"/>
        <v/>
      </c>
      <c r="D161" s="11"/>
      <c r="E161" s="11" t="str">
        <f t="shared" si="5"/>
        <v/>
      </c>
      <c r="F161" s="11"/>
      <c r="G161" s="11"/>
      <c r="L161" s="11"/>
      <c r="M161" s="11"/>
      <c r="N161" s="11"/>
    </row>
    <row r="162" spans="3:14">
      <c r="C162" t="str">
        <f t="shared" si="4"/>
        <v/>
      </c>
      <c r="D162" s="11"/>
      <c r="E162" s="11" t="str">
        <f t="shared" si="5"/>
        <v/>
      </c>
      <c r="F162" s="11"/>
      <c r="G162" s="11"/>
      <c r="L162" s="11"/>
      <c r="M162" s="11"/>
      <c r="N162" s="11"/>
    </row>
    <row r="163" spans="3:14">
      <c r="C163" t="str">
        <f t="shared" si="4"/>
        <v/>
      </c>
      <c r="D163" s="11"/>
      <c r="E163" s="11" t="str">
        <f t="shared" si="5"/>
        <v/>
      </c>
      <c r="F163" s="11"/>
      <c r="G163" s="11"/>
      <c r="L163" s="11"/>
      <c r="M163" s="11"/>
      <c r="N163" s="11"/>
    </row>
    <row r="164" spans="3:14">
      <c r="C164" t="str">
        <f t="shared" si="4"/>
        <v/>
      </c>
      <c r="D164" s="11"/>
      <c r="E164" s="11" t="str">
        <f t="shared" si="5"/>
        <v/>
      </c>
      <c r="F164" s="11"/>
      <c r="G164" s="11"/>
      <c r="L164" s="11"/>
      <c r="M164" s="11"/>
      <c r="N164" s="11"/>
    </row>
    <row r="165" spans="3:14">
      <c r="C165" t="str">
        <f t="shared" si="4"/>
        <v/>
      </c>
      <c r="D165" s="11"/>
      <c r="E165" s="11" t="str">
        <f t="shared" si="5"/>
        <v/>
      </c>
      <c r="F165" s="11"/>
      <c r="G165" s="11"/>
      <c r="L165" s="11"/>
      <c r="M165" s="11"/>
      <c r="N165" s="11"/>
    </row>
    <row r="166" spans="3:14">
      <c r="C166" t="str">
        <f t="shared" si="4"/>
        <v/>
      </c>
      <c r="D166" s="11"/>
      <c r="E166" s="11" t="str">
        <f t="shared" si="5"/>
        <v/>
      </c>
      <c r="F166" s="11"/>
      <c r="G166" s="11"/>
      <c r="L166" s="11"/>
      <c r="M166" s="11"/>
      <c r="N166" s="11"/>
    </row>
    <row r="167" spans="3:14">
      <c r="C167" t="str">
        <f t="shared" si="4"/>
        <v/>
      </c>
      <c r="D167" s="11"/>
      <c r="E167" s="11" t="str">
        <f t="shared" si="5"/>
        <v/>
      </c>
      <c r="F167" s="11"/>
      <c r="G167" s="11"/>
      <c r="L167" s="11"/>
      <c r="M167" s="11"/>
      <c r="N167" s="11"/>
    </row>
    <row r="168" spans="3:14">
      <c r="C168" t="str">
        <f t="shared" si="4"/>
        <v/>
      </c>
      <c r="D168" s="11"/>
      <c r="E168" s="11" t="str">
        <f t="shared" si="5"/>
        <v/>
      </c>
      <c r="F168" s="11"/>
      <c r="G168" s="11"/>
      <c r="L168" s="11"/>
      <c r="M168" s="11"/>
      <c r="N168" s="11"/>
    </row>
    <row r="169" spans="3:14">
      <c r="C169" t="str">
        <f t="shared" si="4"/>
        <v/>
      </c>
      <c r="D169" s="11"/>
      <c r="E169" s="11" t="str">
        <f t="shared" si="5"/>
        <v/>
      </c>
      <c r="F169" s="11"/>
      <c r="G169" s="11"/>
      <c r="L169" s="11"/>
      <c r="M169" s="11"/>
      <c r="N169" s="11"/>
    </row>
    <row r="170" spans="3:14">
      <c r="C170" t="str">
        <f t="shared" si="4"/>
        <v/>
      </c>
      <c r="D170" s="11"/>
      <c r="E170" s="11" t="str">
        <f t="shared" si="5"/>
        <v/>
      </c>
      <c r="F170" s="11"/>
      <c r="G170" s="11"/>
      <c r="L170" s="11"/>
      <c r="M170" s="11"/>
      <c r="N170" s="11"/>
    </row>
    <row r="171" spans="3:14">
      <c r="C171" t="str">
        <f t="shared" si="4"/>
        <v/>
      </c>
      <c r="D171" s="11"/>
      <c r="E171" s="11" t="str">
        <f t="shared" si="5"/>
        <v/>
      </c>
      <c r="F171" s="11"/>
      <c r="G171" s="11"/>
      <c r="L171" s="11"/>
      <c r="M171" s="11"/>
      <c r="N171" s="11"/>
    </row>
    <row r="172" spans="3:14">
      <c r="C172" t="str">
        <f t="shared" si="4"/>
        <v/>
      </c>
      <c r="D172" s="11"/>
      <c r="E172" s="11" t="str">
        <f t="shared" si="5"/>
        <v/>
      </c>
      <c r="F172" s="11"/>
      <c r="G172" s="11"/>
      <c r="L172" s="11"/>
      <c r="M172" s="11"/>
      <c r="N172" s="11"/>
    </row>
    <row r="173" spans="3:14">
      <c r="C173" t="str">
        <f t="shared" si="4"/>
        <v/>
      </c>
      <c r="D173" s="11"/>
      <c r="E173" s="11" t="str">
        <f t="shared" si="5"/>
        <v/>
      </c>
      <c r="F173" s="11"/>
      <c r="G173" s="11"/>
      <c r="L173" s="11"/>
      <c r="M173" s="11"/>
      <c r="N173" s="11"/>
    </row>
    <row r="174" spans="3:14">
      <c r="C174" t="str">
        <f t="shared" si="4"/>
        <v/>
      </c>
      <c r="D174" s="11"/>
      <c r="E174" s="11" t="str">
        <f t="shared" si="5"/>
        <v/>
      </c>
      <c r="F174" s="11"/>
      <c r="G174" s="11"/>
      <c r="L174" s="11"/>
      <c r="M174" s="11"/>
      <c r="N174" s="11"/>
    </row>
    <row r="175" spans="3:14">
      <c r="C175" t="str">
        <f t="shared" si="4"/>
        <v/>
      </c>
      <c r="D175" s="11"/>
      <c r="E175" s="11" t="str">
        <f t="shared" si="5"/>
        <v/>
      </c>
      <c r="F175" s="11"/>
      <c r="G175" s="11"/>
      <c r="L175" s="11"/>
      <c r="M175" s="11"/>
      <c r="N175" s="11"/>
    </row>
    <row r="176" spans="3:14">
      <c r="C176" t="str">
        <f t="shared" si="4"/>
        <v/>
      </c>
      <c r="D176" s="11"/>
      <c r="E176" s="11" t="str">
        <f t="shared" si="5"/>
        <v/>
      </c>
      <c r="F176" s="11"/>
      <c r="G176" s="11"/>
      <c r="L176" s="11"/>
      <c r="M176" s="11"/>
      <c r="N176" s="11"/>
    </row>
    <row r="177" spans="3:14">
      <c r="C177" t="str">
        <f t="shared" si="4"/>
        <v/>
      </c>
      <c r="D177" s="11"/>
      <c r="E177" s="11" t="str">
        <f t="shared" si="5"/>
        <v/>
      </c>
      <c r="F177" s="11"/>
      <c r="G177" s="11"/>
      <c r="L177" s="11"/>
      <c r="M177" s="11"/>
      <c r="N177" s="11"/>
    </row>
    <row r="178" spans="3:14">
      <c r="C178" t="str">
        <f t="shared" si="4"/>
        <v/>
      </c>
      <c r="D178" s="11"/>
      <c r="E178" s="11" t="str">
        <f t="shared" si="5"/>
        <v/>
      </c>
      <c r="F178" s="11"/>
      <c r="G178" s="11"/>
      <c r="L178" s="11"/>
      <c r="M178" s="11"/>
      <c r="N178" s="11"/>
    </row>
    <row r="179" spans="3:14">
      <c r="C179" t="str">
        <f t="shared" si="4"/>
        <v/>
      </c>
      <c r="D179" s="11"/>
      <c r="E179" s="11" t="str">
        <f t="shared" si="5"/>
        <v/>
      </c>
      <c r="F179" s="11"/>
      <c r="G179" s="11"/>
      <c r="L179" s="11"/>
      <c r="M179" s="11"/>
      <c r="N179" s="11"/>
    </row>
    <row r="180" spans="3:14">
      <c r="C180" t="str">
        <f t="shared" si="4"/>
        <v/>
      </c>
      <c r="D180" s="11"/>
      <c r="E180" s="11" t="str">
        <f t="shared" si="5"/>
        <v/>
      </c>
      <c r="F180" s="11"/>
      <c r="G180" s="11"/>
      <c r="L180" s="11"/>
      <c r="M180" s="11"/>
      <c r="N180" s="11"/>
    </row>
    <row r="181" spans="3:14">
      <c r="C181" t="str">
        <f t="shared" si="4"/>
        <v/>
      </c>
      <c r="D181" s="11"/>
      <c r="E181" s="11" t="str">
        <f t="shared" si="5"/>
        <v/>
      </c>
      <c r="F181" s="11"/>
      <c r="G181" s="11"/>
      <c r="L181" s="11"/>
      <c r="M181" s="11"/>
      <c r="N181" s="11"/>
    </row>
    <row r="182" spans="3:14">
      <c r="C182" t="str">
        <f t="shared" si="4"/>
        <v/>
      </c>
      <c r="D182" s="11"/>
      <c r="E182" s="11" t="str">
        <f t="shared" si="5"/>
        <v/>
      </c>
      <c r="F182" s="11"/>
      <c r="G182" s="11"/>
      <c r="L182" s="11"/>
      <c r="M182" s="11"/>
      <c r="N182" s="11"/>
    </row>
    <row r="183" spans="3:14">
      <c r="C183" t="str">
        <f t="shared" si="4"/>
        <v/>
      </c>
      <c r="D183" s="11"/>
      <c r="E183" s="11" t="str">
        <f t="shared" si="5"/>
        <v/>
      </c>
      <c r="F183" s="11"/>
      <c r="G183" s="11"/>
      <c r="L183" s="11"/>
      <c r="M183" s="11"/>
      <c r="N183" s="11"/>
    </row>
    <row r="184" spans="3:14">
      <c r="C184" t="str">
        <f t="shared" si="4"/>
        <v/>
      </c>
      <c r="D184" s="11"/>
      <c r="E184" s="11" t="str">
        <f t="shared" si="5"/>
        <v/>
      </c>
      <c r="F184" s="11"/>
      <c r="G184" s="11"/>
      <c r="L184" s="11"/>
      <c r="M184" s="11"/>
      <c r="N184" s="11"/>
    </row>
    <row r="185" spans="3:14">
      <c r="C185" t="str">
        <f t="shared" si="4"/>
        <v/>
      </c>
      <c r="D185" s="11"/>
      <c r="E185" s="11" t="str">
        <f t="shared" si="5"/>
        <v/>
      </c>
      <c r="F185" s="11"/>
      <c r="G185" s="11"/>
      <c r="L185" s="11"/>
      <c r="M185" s="11"/>
      <c r="N185" s="11"/>
    </row>
    <row r="186" spans="3:14">
      <c r="C186" t="str">
        <f t="shared" si="4"/>
        <v/>
      </c>
      <c r="D186" s="11"/>
      <c r="E186" s="11" t="str">
        <f t="shared" si="5"/>
        <v/>
      </c>
      <c r="F186" s="11"/>
      <c r="G186" s="11"/>
      <c r="L186" s="11"/>
      <c r="M186" s="11"/>
      <c r="N186" s="11"/>
    </row>
    <row r="187" spans="3:14">
      <c r="C187" t="str">
        <f t="shared" si="4"/>
        <v/>
      </c>
      <c r="D187" s="11"/>
      <c r="E187" s="11" t="str">
        <f t="shared" si="5"/>
        <v/>
      </c>
      <c r="F187" s="11"/>
      <c r="G187" s="11"/>
      <c r="L187" s="11"/>
      <c r="M187" s="11"/>
      <c r="N187" s="11"/>
    </row>
    <row r="188" spans="3:14">
      <c r="C188" t="str">
        <f t="shared" si="4"/>
        <v/>
      </c>
      <c r="D188" s="11"/>
      <c r="E188" s="11" t="str">
        <f t="shared" si="5"/>
        <v/>
      </c>
      <c r="F188" s="11"/>
      <c r="G188" s="11"/>
      <c r="L188" s="11"/>
      <c r="M188" s="11"/>
      <c r="N188" s="11"/>
    </row>
    <row r="189" spans="3:14">
      <c r="C189" t="str">
        <f t="shared" si="4"/>
        <v/>
      </c>
      <c r="D189" s="11"/>
      <c r="E189" s="11" t="str">
        <f t="shared" si="5"/>
        <v/>
      </c>
      <c r="F189" s="11"/>
      <c r="G189" s="11"/>
      <c r="L189" s="11"/>
      <c r="M189" s="11"/>
      <c r="N189" s="11"/>
    </row>
    <row r="190" spans="3:14">
      <c r="C190" t="str">
        <f t="shared" si="4"/>
        <v/>
      </c>
      <c r="D190" s="11"/>
      <c r="E190" s="11" t="str">
        <f t="shared" si="5"/>
        <v/>
      </c>
      <c r="F190" s="11"/>
      <c r="G190" s="11"/>
      <c r="L190" s="11"/>
      <c r="M190" s="11"/>
      <c r="N190" s="11"/>
    </row>
    <row r="191" spans="3:14">
      <c r="C191" t="str">
        <f t="shared" si="4"/>
        <v/>
      </c>
      <c r="D191" s="11"/>
      <c r="E191" s="11" t="str">
        <f t="shared" si="5"/>
        <v/>
      </c>
      <c r="F191" s="11"/>
      <c r="G191" s="11"/>
      <c r="L191" s="11"/>
      <c r="M191" s="11"/>
      <c r="N191" s="11"/>
    </row>
    <row r="192" spans="3:14">
      <c r="C192" t="str">
        <f t="shared" si="4"/>
        <v/>
      </c>
      <c r="D192" s="11"/>
      <c r="E192" s="11" t="str">
        <f t="shared" si="5"/>
        <v/>
      </c>
      <c r="F192" s="11"/>
      <c r="G192" s="11"/>
      <c r="L192" s="11"/>
      <c r="M192" s="11"/>
      <c r="N192" s="11"/>
    </row>
    <row r="193" spans="3:14">
      <c r="C193" t="str">
        <f t="shared" si="4"/>
        <v/>
      </c>
      <c r="D193" s="11"/>
      <c r="E193" s="11" t="str">
        <f t="shared" si="5"/>
        <v/>
      </c>
      <c r="F193" s="11"/>
      <c r="G193" s="11"/>
      <c r="L193" s="11"/>
      <c r="M193" s="11"/>
      <c r="N193" s="11"/>
    </row>
    <row r="194" spans="3:14">
      <c r="C194" t="str">
        <f t="shared" si="4"/>
        <v/>
      </c>
      <c r="D194" s="11"/>
      <c r="E194" s="11" t="str">
        <f t="shared" si="5"/>
        <v/>
      </c>
      <c r="F194" s="11"/>
      <c r="G194" s="11"/>
      <c r="L194" s="11"/>
      <c r="M194" s="11"/>
      <c r="N194" s="11"/>
    </row>
    <row r="195" spans="3:14">
      <c r="C195" t="str">
        <f t="shared" si="4"/>
        <v/>
      </c>
      <c r="D195" s="11"/>
      <c r="E195" s="11" t="str">
        <f t="shared" si="5"/>
        <v/>
      </c>
      <c r="F195" s="11"/>
      <c r="G195" s="11"/>
      <c r="L195" s="11"/>
      <c r="M195" s="11"/>
      <c r="N195" s="11"/>
    </row>
    <row r="196" spans="3:14">
      <c r="C196" t="str">
        <f t="shared" si="4"/>
        <v/>
      </c>
      <c r="D196" s="11"/>
      <c r="E196" s="11" t="str">
        <f t="shared" si="5"/>
        <v/>
      </c>
      <c r="F196" s="11"/>
      <c r="G196" s="11"/>
      <c r="L196" s="11"/>
      <c r="M196" s="11"/>
      <c r="N196" s="11"/>
    </row>
    <row r="197" spans="3:14">
      <c r="C197" t="str">
        <f t="shared" ref="C197:C220" si="6">IF(B197="","","0x"&amp;MID("0123456789ABCDEF",INT(B197/16)+1,1)&amp;MID("0123456789ABCDEF",MOD(B197,16)+1,1))</f>
        <v/>
      </c>
      <c r="D197" s="11"/>
      <c r="E197" s="11" t="str">
        <f t="shared" ref="E197:E220" si="7">IF(D197="","","0x"&amp;MID("0123456789ABCDEF",INT(D197/16)+1,1)&amp;MID("0123456789ABCDEF",MOD(D197,16)+1,1))</f>
        <v/>
      </c>
      <c r="F197" s="11"/>
      <c r="G197" s="11"/>
      <c r="L197" s="11"/>
      <c r="M197" s="11"/>
      <c r="N197" s="11"/>
    </row>
    <row r="198" spans="3:14">
      <c r="C198" t="str">
        <f t="shared" si="6"/>
        <v/>
      </c>
      <c r="D198" s="11"/>
      <c r="E198" s="11" t="str">
        <f t="shared" si="7"/>
        <v/>
      </c>
      <c r="F198" s="11"/>
      <c r="G198" s="11"/>
      <c r="L198" s="11"/>
      <c r="M198" s="11"/>
      <c r="N198" s="11"/>
    </row>
    <row r="199" spans="3:14">
      <c r="C199" t="str">
        <f t="shared" si="6"/>
        <v/>
      </c>
      <c r="D199" s="11"/>
      <c r="E199" s="11" t="str">
        <f t="shared" si="7"/>
        <v/>
      </c>
      <c r="F199" s="11"/>
      <c r="G199" s="11"/>
      <c r="L199" s="11"/>
      <c r="M199" s="11"/>
      <c r="N199" s="11"/>
    </row>
    <row r="200" spans="3:14">
      <c r="C200" t="str">
        <f t="shared" si="6"/>
        <v/>
      </c>
      <c r="D200" s="11"/>
      <c r="E200" s="11" t="str">
        <f t="shared" si="7"/>
        <v/>
      </c>
      <c r="F200" s="11"/>
      <c r="G200" s="11"/>
      <c r="L200" s="11"/>
      <c r="M200" s="11"/>
      <c r="N200" s="11"/>
    </row>
    <row r="201" spans="3:14">
      <c r="C201" t="str">
        <f t="shared" si="6"/>
        <v/>
      </c>
      <c r="D201" s="11"/>
      <c r="E201" s="11" t="str">
        <f t="shared" si="7"/>
        <v/>
      </c>
      <c r="F201" s="11"/>
      <c r="G201" s="11"/>
      <c r="L201" s="11"/>
      <c r="M201" s="11"/>
      <c r="N201" s="11"/>
    </row>
    <row r="202" spans="3:14">
      <c r="C202" t="str">
        <f t="shared" si="6"/>
        <v/>
      </c>
      <c r="D202" s="11"/>
      <c r="E202" s="11" t="str">
        <f t="shared" si="7"/>
        <v/>
      </c>
      <c r="F202" s="11"/>
      <c r="G202" s="11"/>
      <c r="L202" s="11"/>
      <c r="M202" s="11"/>
      <c r="N202" s="11"/>
    </row>
    <row r="203" spans="3:14">
      <c r="C203" t="str">
        <f t="shared" si="6"/>
        <v/>
      </c>
      <c r="D203" s="11"/>
      <c r="E203" s="11" t="str">
        <f t="shared" si="7"/>
        <v/>
      </c>
      <c r="F203" s="11"/>
      <c r="G203" s="11"/>
      <c r="L203" s="11"/>
      <c r="M203" s="11"/>
      <c r="N203" s="11"/>
    </row>
    <row r="204" spans="3:14">
      <c r="C204" t="str">
        <f t="shared" si="6"/>
        <v/>
      </c>
      <c r="D204" s="11"/>
      <c r="E204" s="11" t="str">
        <f t="shared" si="7"/>
        <v/>
      </c>
      <c r="F204" s="11"/>
      <c r="G204" s="11"/>
      <c r="L204" s="11"/>
      <c r="M204" s="11"/>
      <c r="N204" s="11"/>
    </row>
    <row r="205" spans="3:14">
      <c r="C205" t="str">
        <f t="shared" si="6"/>
        <v/>
      </c>
      <c r="D205" s="11"/>
      <c r="E205" s="11" t="str">
        <f t="shared" si="7"/>
        <v/>
      </c>
      <c r="F205" s="11"/>
      <c r="G205" s="11"/>
      <c r="L205" s="11"/>
      <c r="M205" s="11"/>
      <c r="N205" s="11"/>
    </row>
    <row r="206" spans="3:14">
      <c r="C206" t="str">
        <f t="shared" si="6"/>
        <v/>
      </c>
      <c r="D206" s="11"/>
      <c r="E206" s="11" t="str">
        <f t="shared" si="7"/>
        <v/>
      </c>
      <c r="F206" s="11"/>
      <c r="G206" s="11"/>
      <c r="L206" s="11"/>
      <c r="M206" s="11"/>
      <c r="N206" s="11"/>
    </row>
    <row r="207" spans="3:14">
      <c r="C207" t="str">
        <f t="shared" si="6"/>
        <v/>
      </c>
      <c r="D207" s="11"/>
      <c r="E207" s="11" t="str">
        <f t="shared" si="7"/>
        <v/>
      </c>
      <c r="F207" s="11"/>
      <c r="G207" s="11"/>
      <c r="L207" s="11"/>
      <c r="M207" s="11"/>
      <c r="N207" s="11"/>
    </row>
    <row r="208" spans="3:14">
      <c r="C208" t="str">
        <f t="shared" si="6"/>
        <v/>
      </c>
      <c r="D208" s="11"/>
      <c r="E208" s="11" t="str">
        <f t="shared" si="7"/>
        <v/>
      </c>
      <c r="F208" s="11"/>
      <c r="G208" s="11"/>
      <c r="L208" s="11"/>
      <c r="M208" s="11"/>
      <c r="N208" s="11"/>
    </row>
    <row r="209" spans="3:14">
      <c r="C209" t="str">
        <f t="shared" si="6"/>
        <v/>
      </c>
      <c r="D209" s="11"/>
      <c r="E209" s="11" t="str">
        <f t="shared" si="7"/>
        <v/>
      </c>
      <c r="F209" s="11"/>
      <c r="G209" s="11"/>
      <c r="L209" s="11"/>
      <c r="M209" s="11"/>
      <c r="N209" s="11"/>
    </row>
    <row r="210" spans="3:14">
      <c r="C210" t="str">
        <f t="shared" si="6"/>
        <v/>
      </c>
      <c r="D210" s="11"/>
      <c r="E210" s="11" t="str">
        <f t="shared" si="7"/>
        <v/>
      </c>
      <c r="F210" s="11"/>
      <c r="G210" s="11"/>
      <c r="L210" s="11"/>
      <c r="M210" s="11"/>
      <c r="N210" s="11"/>
    </row>
    <row r="211" spans="3:14">
      <c r="C211" t="str">
        <f t="shared" si="6"/>
        <v/>
      </c>
      <c r="D211" s="11"/>
      <c r="E211" s="11" t="str">
        <f t="shared" si="7"/>
        <v/>
      </c>
      <c r="F211" s="11"/>
      <c r="G211" s="11"/>
      <c r="L211" s="11"/>
      <c r="M211" s="11"/>
      <c r="N211" s="11"/>
    </row>
    <row r="212" spans="3:14">
      <c r="C212" t="str">
        <f t="shared" si="6"/>
        <v/>
      </c>
      <c r="D212" s="11"/>
      <c r="E212" s="11" t="str">
        <f t="shared" si="7"/>
        <v/>
      </c>
      <c r="F212" s="11"/>
      <c r="G212" s="11"/>
      <c r="L212" s="11"/>
      <c r="M212" s="11"/>
      <c r="N212" s="11"/>
    </row>
    <row r="213" spans="3:14">
      <c r="C213" t="str">
        <f t="shared" si="6"/>
        <v/>
      </c>
      <c r="D213" s="11"/>
      <c r="E213" s="11" t="str">
        <f t="shared" si="7"/>
        <v/>
      </c>
      <c r="F213" s="11"/>
      <c r="G213" s="11"/>
      <c r="L213" s="11"/>
      <c r="M213" s="11"/>
      <c r="N213" s="11"/>
    </row>
    <row r="214" spans="3:14">
      <c r="C214" t="str">
        <f t="shared" si="6"/>
        <v/>
      </c>
      <c r="D214" s="11"/>
      <c r="E214" s="11" t="str">
        <f t="shared" si="7"/>
        <v/>
      </c>
      <c r="F214" s="11"/>
      <c r="G214" s="11"/>
      <c r="L214" s="11"/>
      <c r="M214" s="11"/>
      <c r="N214" s="11"/>
    </row>
    <row r="215" spans="3:14">
      <c r="C215" t="str">
        <f t="shared" si="6"/>
        <v/>
      </c>
      <c r="D215" s="11"/>
      <c r="E215" s="11" t="str">
        <f t="shared" si="7"/>
        <v/>
      </c>
      <c r="F215" s="11"/>
      <c r="G215" s="11"/>
      <c r="L215" s="11"/>
      <c r="M215" s="11"/>
      <c r="N215" s="11"/>
    </row>
    <row r="216" spans="3:14">
      <c r="C216" t="str">
        <f t="shared" si="6"/>
        <v/>
      </c>
      <c r="D216" s="11"/>
      <c r="E216" s="11" t="str">
        <f t="shared" si="7"/>
        <v/>
      </c>
      <c r="F216" s="11"/>
      <c r="G216" s="11"/>
      <c r="L216" s="11"/>
      <c r="M216" s="11"/>
      <c r="N216" s="11"/>
    </row>
    <row r="217" spans="3:14">
      <c r="C217" t="str">
        <f t="shared" si="6"/>
        <v/>
      </c>
      <c r="D217" s="11"/>
      <c r="E217" s="11" t="str">
        <f t="shared" si="7"/>
        <v/>
      </c>
      <c r="F217" s="11"/>
      <c r="G217" s="11"/>
      <c r="L217" s="11"/>
      <c r="M217" s="11"/>
      <c r="N217" s="11"/>
    </row>
    <row r="218" spans="3:14">
      <c r="C218" t="str">
        <f t="shared" si="6"/>
        <v/>
      </c>
      <c r="D218" s="11"/>
      <c r="E218" s="11" t="str">
        <f t="shared" si="7"/>
        <v/>
      </c>
      <c r="F218" s="11"/>
      <c r="G218" s="11"/>
      <c r="L218" s="11"/>
      <c r="M218" s="11"/>
      <c r="N218" s="11"/>
    </row>
    <row r="219" spans="3:14">
      <c r="C219" t="str">
        <f t="shared" si="6"/>
        <v/>
      </c>
      <c r="D219" s="11"/>
      <c r="E219" s="11" t="str">
        <f t="shared" si="7"/>
        <v/>
      </c>
      <c r="F219" s="11"/>
      <c r="G219" s="11"/>
      <c r="L219" s="11"/>
      <c r="M219" s="11"/>
      <c r="N219" s="11"/>
    </row>
    <row r="220" spans="3:14">
      <c r="C220" t="str">
        <f t="shared" si="6"/>
        <v/>
      </c>
      <c r="D220" s="11"/>
      <c r="E220" s="11" t="str">
        <f t="shared" si="7"/>
        <v/>
      </c>
      <c r="F220" s="11"/>
      <c r="G220" s="11"/>
      <c r="L220" s="11"/>
      <c r="M220" s="11"/>
      <c r="N220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README_填写说明</vt:lpstr>
      <vt:lpstr>项目配置</vt:lpstr>
      <vt:lpstr>字段输入模板</vt:lpstr>
      <vt:lpstr>示例_当前工程</vt:lpstr>
      <vt:lpstr>导出预览_register_fields</vt:lpstr>
      <vt:lpstr>可选_寄存器汇总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ghzhao</cp:lastModifiedBy>
  <dcterms:created xsi:type="dcterms:W3CDTF">2026-03-25T08:41:29Z</dcterms:created>
  <dcterms:modified xsi:type="dcterms:W3CDTF">2026-03-25T08:42:00Z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E88D1EE87C5E406D887718DF82039778_12</vt:lpwstr>
  </property>
  <property fmtid="{D5CDD505-2E9C-101B-9397-08002B2CF9AE}" pid="3" name="KSOProductBuildVer">
    <vt:lpwstr>2052-12.1.0.22175</vt:lpwstr>
  </property>
</Properties>
</file>